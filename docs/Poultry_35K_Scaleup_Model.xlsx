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ultry Model" sheetId="1" state="visible" r:id="rId3"/>
    <sheet name="Capital Investment" sheetId="2" state="visible" r:id="rId4"/>
    <sheet name="Farm Impa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<sst xmlns="http://schemas.openxmlformats.org/spreadsheetml/2006/main" count="425" uniqueCount="362">
  <si>
    <t xml:space="preserve">35,000-BIRD COMMERCIAL POULTRY OPERATION</t>
  </si>
  <si>
    <t xml:space="preserve">Medium-Density Production — Sahel Integration</t>
  </si>
  <si>
    <t xml:space="preserve">FLOCK COMPOSITION</t>
  </si>
  <si>
    <t xml:space="preserve">Value</t>
  </si>
  <si>
    <t xml:space="preserve">Unit</t>
  </si>
  <si>
    <t xml:space="preserve">Notes</t>
  </si>
  <si>
    <t xml:space="preserve">Total annual throughput</t>
  </si>
  <si>
    <t xml:space="preserve">birds/yr</t>
  </si>
  <si>
    <t xml:space="preserve">Target flock size</t>
  </si>
  <si>
    <t xml:space="preserve">Broilers (meat birds)</t>
  </si>
  <si>
    <t xml:space="preserve">71% of flock — primary meat production</t>
  </si>
  <si>
    <t xml:space="preserve">Layers (egg production)</t>
  </si>
  <si>
    <t xml:space="preserve">birds</t>
  </si>
  <si>
    <t xml:space="preserve">Standing flock — replaced every 18 months</t>
  </si>
  <si>
    <t xml:space="preserve">Guinea fowl</t>
  </si>
  <si>
    <t xml:space="preserve">Premium local breed, semi-free-range</t>
  </si>
  <si>
    <t xml:space="preserve">Ducks (rice paddy integration)</t>
  </si>
  <si>
    <t xml:space="preserve">Dual-purpose: eggs + meat</t>
  </si>
  <si>
    <t xml:space="preserve">Flock composition check</t>
  </si>
  <si>
    <t xml:space="preserve">Should approximate total annual target</t>
  </si>
  <si>
    <t xml:space="preserve">BROILER PRODUCTION</t>
  </si>
  <si>
    <t xml:space="preserve">Birds per batch</t>
  </si>
  <si>
    <t xml:space="preserve">Sized to hit annual target</t>
  </si>
  <si>
    <t xml:space="preserve">Grow-out period</t>
  </si>
  <si>
    <t xml:space="preserve">days</t>
  </si>
  <si>
    <t xml:space="preserve">7 weeks — standard broiler cycle</t>
  </si>
  <si>
    <t xml:space="preserve">Downtime between batches</t>
  </si>
  <si>
    <t xml:space="preserve">Clean-out, disinfect, rest</t>
  </si>
  <si>
    <t xml:space="preserve">Total cycle length</t>
  </si>
  <si>
    <t xml:space="preserve">Grow + turnaround</t>
  </si>
  <si>
    <t xml:space="preserve">Batches per year</t>
  </si>
  <si>
    <t xml:space="preserve">batches/yr</t>
  </si>
  <si>
    <t xml:space="preserve">How many cycles fit in a year</t>
  </si>
  <si>
    <t xml:space="preserve">Mortality rate</t>
  </si>
  <si>
    <t xml:space="preserve">5% — good for Sahel conditions</t>
  </si>
  <si>
    <t xml:space="preserve">Birds harvested per batch</t>
  </si>
  <si>
    <t xml:space="preserve">After mortality</t>
  </si>
  <si>
    <t xml:space="preserve">Total broilers harvested/year</t>
  </si>
  <si>
    <t xml:space="preserve">Annual saleable output</t>
  </si>
  <si>
    <t xml:space="preserve">Average live weight at harvest</t>
  </si>
  <si>
    <t xml:space="preserve">kg</t>
  </si>
  <si>
    <t xml:space="preserve">7-week broiler in Sahel heat</t>
  </si>
  <si>
    <t xml:space="preserve">Dressed weight (75% of live)</t>
  </si>
  <si>
    <t xml:space="preserve">After slaughter and cleaning</t>
  </si>
  <si>
    <t xml:space="preserve">Total meat produced (tonnes)</t>
  </si>
  <si>
    <t xml:space="preserve">tonnes/yr</t>
  </si>
  <si>
    <t xml:space="preserve">Annual dressed weight output</t>
  </si>
  <si>
    <t xml:space="preserve">Stocking density</t>
  </si>
  <si>
    <t xml:space="preserve">birds/m²</t>
  </si>
  <si>
    <t xml:space="preserve">Medium density — good welfare + performance</t>
  </si>
  <si>
    <t xml:space="preserve">Floor space needed per batch</t>
  </si>
  <si>
    <t xml:space="preserve">m²</t>
  </si>
  <si>
    <t xml:space="preserve">Active housing area</t>
  </si>
  <si>
    <t xml:space="preserve">LAYER PRODUCTION</t>
  </si>
  <si>
    <t xml:space="preserve">Standing layer flock</t>
  </si>
  <si>
    <t xml:space="preserve">Maintained continuously</t>
  </si>
  <si>
    <t xml:space="preserve">Lay rate (avg over cycle)</t>
  </si>
  <si>
    <t xml:space="preserve">70% — tropical breed average</t>
  </si>
  <si>
    <t xml:space="preserve">Eggs per hen per year</t>
  </si>
  <si>
    <t xml:space="preserve">eggs/hen/yr</t>
  </si>
  <si>
    <t xml:space="preserve">Annual lay rate</t>
  </si>
  <si>
    <t xml:space="preserve">Total eggs per year</t>
  </si>
  <si>
    <t xml:space="preserve">eggs/yr</t>
  </si>
  <si>
    <t xml:space="preserve">Gross production</t>
  </si>
  <si>
    <t xml:space="preserve">Eggs lost / broken (5%)</t>
  </si>
  <si>
    <t xml:space="preserve">Handling and storage losses</t>
  </si>
  <si>
    <t xml:space="preserve">Saleable eggs per year</t>
  </si>
  <si>
    <t xml:space="preserve">Net marketable eggs</t>
  </si>
  <si>
    <t xml:space="preserve">Eggs per month</t>
  </si>
  <si>
    <t xml:space="preserve">eggs/month</t>
  </si>
  <si>
    <t xml:space="preserve">Average monthly supply</t>
  </si>
  <si>
    <t xml:space="preserve">Trays (30 eggs each) per month</t>
  </si>
  <si>
    <t xml:space="preserve">trays/month</t>
  </si>
  <si>
    <t xml:space="preserve">Standard market unit</t>
  </si>
  <si>
    <t xml:space="preserve">Layer replacement cycle</t>
  </si>
  <si>
    <t xml:space="preserve">months</t>
  </si>
  <si>
    <t xml:space="preserve">Hens replaced after peak production</t>
  </si>
  <si>
    <t xml:space="preserve">Replacement hens needed/year</t>
  </si>
  <si>
    <t xml:space="preserve">hens/yr</t>
  </si>
  <si>
    <t xml:space="preserve">Rolling replacement</t>
  </si>
  <si>
    <t xml:space="preserve">Spent hen value (meat)</t>
  </si>
  <si>
    <t xml:space="preserve">$/bird</t>
  </si>
  <si>
    <t xml:space="preserve">Sold for stewing/soup — never wasted</t>
  </si>
  <si>
    <t xml:space="preserve">Layer housing density</t>
  </si>
  <si>
    <t xml:space="preserve">Lower density than broilers for welfare</t>
  </si>
  <si>
    <t xml:space="preserve">Layer floor space needed</t>
  </si>
  <si>
    <t xml:space="preserve">Dedicated layer house</t>
  </si>
  <si>
    <t xml:space="preserve">GUINEA FOWL &amp; DUCKS</t>
  </si>
  <si>
    <t xml:space="preserve">Guinea fowl annual production</t>
  </si>
  <si>
    <t xml:space="preserve">Semi-free-range, 12-14 week cycle</t>
  </si>
  <si>
    <t xml:space="preserve">Guinea fowl avg weight</t>
  </si>
  <si>
    <t xml:space="preserve">Smaller but premium price</t>
  </si>
  <si>
    <t xml:space="preserve">Guinea fowl price premium</t>
  </si>
  <si>
    <t xml:space="preserve">×</t>
  </si>
  <si>
    <t xml:space="preserve">1.5× chicken price — local delicacy</t>
  </si>
  <si>
    <t xml:space="preserve">Guinea fowl batches/year</t>
  </si>
  <si>
    <t xml:space="preserve">batches</t>
  </si>
  <si>
    <t xml:space="preserve">Longer cycle + seasonal breeding</t>
  </si>
  <si>
    <t xml:space="preserve">Guinea fowl mortality</t>
  </si>
  <si>
    <t xml:space="preserve">Higher than chicken — semi-wild behavior</t>
  </si>
  <si>
    <t xml:space="preserve">Guinea fowl harvested/year</t>
  </si>
  <si>
    <t xml:space="preserve">Net after mortality</t>
  </si>
  <si>
    <t xml:space="preserve">Duck annual production</t>
  </si>
  <si>
    <t xml:space="preserve">Pekin or Muscovy crosses</t>
  </si>
  <si>
    <t xml:space="preserve">Duck avg weight</t>
  </si>
  <si>
    <t xml:space="preserve">Heavier than chicken</t>
  </si>
  <si>
    <t xml:space="preserve">Duck eggs per hen/year</t>
  </si>
  <si>
    <t xml:space="preserve">eggs/hen</t>
  </si>
  <si>
    <t xml:space="preserve">Muscovy: 180-220 eggs/yr</t>
  </si>
  <si>
    <t xml:space="preserve">Duck layer flock (40% kept)</t>
  </si>
  <si>
    <t xml:space="preserve">Remaining 60% raised for meat</t>
  </si>
  <si>
    <t xml:space="preserve">Duck eggs per year</t>
  </si>
  <si>
    <t xml:space="preserve">Premium product</t>
  </si>
  <si>
    <t xml:space="preserve">Ducks for meat per year</t>
  </si>
  <si>
    <t xml:space="preserve">After 5% mortality</t>
  </si>
  <si>
    <t xml:space="preserve">POULTRY REVENUE</t>
  </si>
  <si>
    <t xml:space="preserve">Annual</t>
  </si>
  <si>
    <t xml:space="preserve">Monthly</t>
  </si>
  <si>
    <t xml:space="preserve">PRICING (Sahel market rates)</t>
  </si>
  <si>
    <t xml:space="preserve">  Broiler live weight price</t>
  </si>
  <si>
    <t xml:space="preserve">$/kg live</t>
  </si>
  <si>
    <t xml:space="preserve">Farm gate / local market</t>
  </si>
  <si>
    <t xml:space="preserve">  Broiler dressed price</t>
  </si>
  <si>
    <t xml:space="preserve">$/kg dressed</t>
  </si>
  <si>
    <t xml:space="preserve">Cleaned and ready to cook</t>
  </si>
  <si>
    <t xml:space="preserve">  % sold live vs dressed</t>
  </si>
  <si>
    <t xml:space="preserve">60% live, 40% dressed — varies by market</t>
  </si>
  <si>
    <t xml:space="preserve">  Egg price per tray (30)</t>
  </si>
  <si>
    <t xml:space="preserve">$/tray</t>
  </si>
  <si>
    <t xml:space="preserve">Local market — standard 30-egg tray</t>
  </si>
  <si>
    <t xml:space="preserve">  Guinea fowl price per bird</t>
  </si>
  <si>
    <t xml:space="preserve">Premium over chicken</t>
  </si>
  <si>
    <t xml:space="preserve">  Duck price per kg</t>
  </si>
  <si>
    <t xml:space="preserve">$/kg</t>
  </si>
  <si>
    <t xml:space="preserve">Slightly above chicken</t>
  </si>
  <si>
    <t xml:space="preserve">  Duck egg price per tray</t>
  </si>
  <si>
    <t xml:space="preserve">Premium — larger, richer eggs</t>
  </si>
  <si>
    <t xml:space="preserve">REVENUE CALCULATIONS</t>
  </si>
  <si>
    <t xml:space="preserve">Broiler revenue — live sales</t>
  </si>
  <si>
    <t xml:space="preserve">Birds × %live × weight × price/kg</t>
  </si>
  <si>
    <t xml:space="preserve">Broiler revenue — dressed sales</t>
  </si>
  <si>
    <t xml:space="preserve">Birds × %dressed × dressed wt × price</t>
  </si>
  <si>
    <t xml:space="preserve">Total broiler meat revenue</t>
  </si>
  <si>
    <t xml:space="preserve">Combined live + dressed chicken sales</t>
  </si>
  <si>
    <t xml:space="preserve">Chicken egg revenue</t>
  </si>
  <si>
    <t xml:space="preserve">Trays × price per tray</t>
  </si>
  <si>
    <t xml:space="preserve">Spent hen revenue</t>
  </si>
  <si>
    <t xml:space="preserve">Replacement hens sold for meat</t>
  </si>
  <si>
    <t xml:space="preserve">Guinea fowl revenue</t>
  </si>
  <si>
    <t xml:space="preserve">Harvested birds × premium price</t>
  </si>
  <si>
    <t xml:space="preserve">Duck meat revenue</t>
  </si>
  <si>
    <t xml:space="preserve">Meat ducks × weight × price</t>
  </si>
  <si>
    <t xml:space="preserve">Duck egg revenue</t>
  </si>
  <si>
    <t xml:space="preserve">Duck egg trays × premium price</t>
  </si>
  <si>
    <t xml:space="preserve">Manure sales / value</t>
  </si>
  <si>
    <t xml:space="preserve">Composted poultry manure — sold or used on-farm</t>
  </si>
  <si>
    <t xml:space="preserve">TOTAL POULTRY REVENUE</t>
  </si>
  <si>
    <t xml:space="preserve">All poultry income streams</t>
  </si>
  <si>
    <t xml:space="preserve">FEED REQUIREMENTS</t>
  </si>
  <si>
    <t xml:space="preserve">Broiler feed consumption per bird</t>
  </si>
  <si>
    <t xml:space="preserve">kg/bird</t>
  </si>
  <si>
    <t xml:space="preserve">Total feed over 49-day cycle</t>
  </si>
  <si>
    <t xml:space="preserve">Broiler FCR</t>
  </si>
  <si>
    <t xml:space="preserve">kg feed per kg live weight gained — tropical</t>
  </si>
  <si>
    <t xml:space="preserve">Annual broiler feed (tonnes)</t>
  </si>
  <si>
    <t xml:space="preserve">tonnes</t>
  </si>
  <si>
    <t xml:space="preserve">Total broiler feed demand</t>
  </si>
  <si>
    <t xml:space="preserve">Layer feed per hen per day</t>
  </si>
  <si>
    <t xml:space="preserve">kg/day</t>
  </si>
  <si>
    <t xml:space="preserve">Standard layer ration</t>
  </si>
  <si>
    <t xml:space="preserve">Annual layer feed (tonnes)</t>
  </si>
  <si>
    <t xml:space="preserve">Year-round feeding</t>
  </si>
  <si>
    <t xml:space="preserve">Guinea fowl feed per bird (total cycle)</t>
  </si>
  <si>
    <t xml:space="preserve">14-week cycle, supplemented by foraging</t>
  </si>
  <si>
    <t xml:space="preserve">Annual guinea fowl feed (tonnes)</t>
  </si>
  <si>
    <t xml:space="preserve">Part-supplemented by foraging</t>
  </si>
  <si>
    <t xml:space="preserve">Duck feed per bird per day</t>
  </si>
  <si>
    <t xml:space="preserve">Supplemented by paddy + pond foraging</t>
  </si>
  <si>
    <t xml:space="preserve">Annual duck feed (tonnes)</t>
  </si>
  <si>
    <t xml:space="preserve">~180 days avg on feed (rest is foraged)</t>
  </si>
  <si>
    <t xml:space="preserve">TOTAL POULTRY FEED (tonnes/yr)</t>
  </si>
  <si>
    <t xml:space="preserve">All poultry species</t>
  </si>
  <si>
    <t xml:space="preserve">On-farm feed substitution</t>
  </si>
  <si>
    <t xml:space="preserve">Termites, BSF larvae, moringa, grain from farm</t>
  </si>
  <si>
    <t xml:space="preserve">Commercial feed needed (tonnes)</t>
  </si>
  <si>
    <t xml:space="preserve">After on-farm substitution</t>
  </si>
  <si>
    <t xml:space="preserve">Poultry feed cost ($/tonne)</t>
  </si>
  <si>
    <t xml:space="preserve">$/tonne</t>
  </si>
  <si>
    <t xml:space="preserve">Cheaper than fish feed — simpler formulation</t>
  </si>
  <si>
    <t xml:space="preserve">ANNUAL FEED COST</t>
  </si>
  <si>
    <t xml:space="preserve">$</t>
  </si>
  <si>
    <t xml:space="preserve">Biggest operating expense</t>
  </si>
  <si>
    <t xml:space="preserve">Monthly feed cost</t>
  </si>
  <si>
    <t xml:space="preserve">$/month</t>
  </si>
  <si>
    <t xml:space="preserve">Cash flow planning</t>
  </si>
  <si>
    <t xml:space="preserve">OTHER OPERATING COSTS</t>
  </si>
  <si>
    <t xml:space="preserve">Day-old chick purchases (broilers)</t>
  </si>
  <si>
    <t xml:space="preserve">~$0.60 per DOC × annual quantity</t>
  </si>
  <si>
    <t xml:space="preserve">Point-of-lay pullet purchases</t>
  </si>
  <si>
    <t xml:space="preserve">$5 per replacement layer pullet</t>
  </si>
  <si>
    <t xml:space="preserve">Guinea fowl keets</t>
  </si>
  <si>
    <t xml:space="preserve">$0.80 per keet — can breed own after Yr 2</t>
  </si>
  <si>
    <t xml:space="preserve">Duckling purchases</t>
  </si>
  <si>
    <t xml:space="preserve">70% bred on-farm after Yr 1</t>
  </si>
  <si>
    <t xml:space="preserve">Vaccines &amp; medications</t>
  </si>
  <si>
    <t xml:space="preserve">~$0.25/bird — Newcastle, Gumboro, coccidiosis</t>
  </si>
  <si>
    <t xml:space="preserve">Bedding / litter (rice husks, straw)</t>
  </si>
  <si>
    <t xml:space="preserve">From farm rice + sorghum waste</t>
  </si>
  <si>
    <t xml:space="preserve">Utilities (water, lighting)</t>
  </si>
  <si>
    <t xml:space="preserve">Poultry house water + lighting</t>
  </si>
  <si>
    <t xml:space="preserve">Equipment maintenance</t>
  </si>
  <si>
    <t xml:space="preserve">Feeders, drinkers, fans</t>
  </si>
  <si>
    <t xml:space="preserve">Labor (poultry-specific)</t>
  </si>
  <si>
    <t xml:space="preserve">4 workers + 1 supervisor</t>
  </si>
  <si>
    <t xml:space="preserve">Slaughter &amp; processing supplies</t>
  </si>
  <si>
    <t xml:space="preserve">Knives, cones, packaging, ice</t>
  </si>
  <si>
    <t xml:space="preserve">Transport to market</t>
  </si>
  <si>
    <t xml:space="preserve">Weekly market deliveries</t>
  </si>
  <si>
    <t xml:space="preserve">TOTAL OTHER OPERATING COSTS</t>
  </si>
  <si>
    <t xml:space="preserve">Non-feed operating expenses</t>
  </si>
  <si>
    <t xml:space="preserve">POULTRY OPERATION P&amp;L</t>
  </si>
  <si>
    <t xml:space="preserve">Total Poultry Revenue</t>
  </si>
  <si>
    <t xml:space="preserve">Total Feed Cost</t>
  </si>
  <si>
    <t xml:space="preserve">Total Other Operating Costs</t>
  </si>
  <si>
    <t xml:space="preserve">TOTAL POULTRY COSTS</t>
  </si>
  <si>
    <t xml:space="preserve">NET POULTRY PROFIT</t>
  </si>
  <si>
    <t xml:space="preserve">Poultry Operating Margin</t>
  </si>
  <si>
    <t xml:space="preserve">Cost per kg of meat produced</t>
  </si>
  <si>
    <t xml:space="preserve">Revenue per kg of meat produced</t>
  </si>
  <si>
    <t xml:space="preserve">POULTRY INFRASTRUCTURE — CAPITAL INVESTMENT</t>
  </si>
  <si>
    <t xml:space="preserve">Medium-Density Commercial Operation (35,000 birds/year)</t>
  </si>
  <si>
    <t xml:space="preserve">HOUSING</t>
  </si>
  <si>
    <t xml:space="preserve">Cost ($)</t>
  </si>
  <si>
    <t xml:space="preserve">Qty</t>
  </si>
  <si>
    <t xml:space="preserve">Specification &amp; Notes</t>
  </si>
  <si>
    <t xml:space="preserve">  Broiler house — Type A (main)</t>
  </si>
  <si>
    <t xml:space="preserve">2</t>
  </si>
  <si>
    <t xml:space="preserve">600 m² each (25m×24m), open-sided with curtains, concrete floor, steel truss roof, holds 3,000 birds at 10/m²</t>
  </si>
  <si>
    <t xml:space="preserve">  Broiler house — Type B (secondary)</t>
  </si>
  <si>
    <t xml:space="preserve">1</t>
  </si>
  <si>
    <t xml:space="preserve">400 m² (20m×20m), same spec, overflow capacity for batch overlap</t>
  </si>
  <si>
    <t xml:space="preserve">  Layer house</t>
  </si>
  <si>
    <t xml:space="preserve">~830 m² for 5,000 birds at 6/m², deep litter system, nest boxes, perches</t>
  </si>
  <si>
    <t xml:space="preserve">  Guinea fowl shelter</t>
  </si>
  <si>
    <t xml:space="preserve">Open-sided night shelters, 150 m² each — birds free-range by day</t>
  </si>
  <si>
    <t xml:space="preserve">  Duck shelter + pond access</t>
  </si>
  <si>
    <t xml:space="preserve">Simple shelter near rice paddies + pond, 100 m²</t>
  </si>
  <si>
    <t xml:space="preserve">  Quarantine / sick bay</t>
  </si>
  <si>
    <t xml:space="preserve">Isolated 50 m² unit for new arrivals and sick birds</t>
  </si>
  <si>
    <t xml:space="preserve">  Feed storage barn</t>
  </si>
  <si>
    <t xml:space="preserve">Rodent-proof, ventilated, 100 m², 3-month feed capacity</t>
  </si>
  <si>
    <t xml:space="preserve">  Egg storage &amp; grading room</t>
  </si>
  <si>
    <t xml:space="preserve">Cool room (part of processing shed), grading table, packaging</t>
  </si>
  <si>
    <t xml:space="preserve">  Slaughter &amp; processing area</t>
  </si>
  <si>
    <t xml:space="preserve">150 m², scalding tank, plucking machine, chill room, drain system</t>
  </si>
  <si>
    <t xml:space="preserve">Subtotal Housing</t>
  </si>
  <si>
    <t xml:space="preserve">EQUIPMENT</t>
  </si>
  <si>
    <t xml:space="preserve">  Tube feeders (broiler houses)</t>
  </si>
  <si>
    <t xml:space="preserve">200</t>
  </si>
  <si>
    <t xml:space="preserve">1 per 25-30 birds, $15 each</t>
  </si>
  <si>
    <t xml:space="preserve">  Bell drinkers / nipple lines</t>
  </si>
  <si>
    <t xml:space="preserve">—</t>
  </si>
  <si>
    <t xml:space="preserve">Nipple drinkers preferred — less waste, cleaner water</t>
  </si>
  <si>
    <t xml:space="preserve">  Layer nest boxes</t>
  </si>
  <si>
    <t xml:space="preserve">250</t>
  </si>
  <si>
    <t xml:space="preserve">1 nest per 4-5 hens, can be locally fabricated</t>
  </si>
  <si>
    <t xml:space="preserve">  Brooders (gas/electric)</t>
  </si>
  <si>
    <t xml:space="preserve">12</t>
  </si>
  <si>
    <t xml:space="preserve">Hover brooders for chick heating, 250 chicks each</t>
  </si>
  <si>
    <t xml:space="preserve">  Fans / ventilation</t>
  </si>
  <si>
    <t xml:space="preserve">Critical in Sahel heat — ceiling + tunnel ventilation</t>
  </si>
  <si>
    <t xml:space="preserve">  Egg trays &amp; crates</t>
  </si>
  <si>
    <t xml:space="preserve">Reusable plastic trays</t>
  </si>
  <si>
    <t xml:space="preserve">  Plucking machine (rotary)</t>
  </si>
  <si>
    <t xml:space="preserve">Processes 100+ birds/hour</t>
  </si>
  <si>
    <t xml:space="preserve">  Scalding tank</t>
  </si>
  <si>
    <t xml:space="preserve">Thermostatically controlled, 20-bird capacity</t>
  </si>
  <si>
    <t xml:space="preserve">  Killing cones</t>
  </si>
  <si>
    <t xml:space="preserve">10</t>
  </si>
  <si>
    <t xml:space="preserve">Stainless steel, wall-mounted</t>
  </si>
  <si>
    <t xml:space="preserve">  Weighing scales</t>
  </si>
  <si>
    <t xml:space="preserve">3</t>
  </si>
  <si>
    <t xml:space="preserve">Platform + hanging scales</t>
  </si>
  <si>
    <t xml:space="preserve">  Cold room (poultry dedicated)</t>
  </si>
  <si>
    <t xml:space="preserve">Walk-in, 4°C, solar-powered, 200 bird capacity</t>
  </si>
  <si>
    <t xml:space="preserve">  Generator backup (poultry)</t>
  </si>
  <si>
    <t xml:space="preserve">Dedicated backup for ventilation + cold chain</t>
  </si>
  <si>
    <t xml:space="preserve">  Biosecurity equipment</t>
  </si>
  <si>
    <t xml:space="preserve">Foot baths, sprayers, PPE, signage</t>
  </si>
  <si>
    <t xml:space="preserve">Subtotal Equipment</t>
  </si>
  <si>
    <t xml:space="preserve">SITE &amp; INFRASTRUCTURE</t>
  </si>
  <si>
    <t xml:space="preserve">  Site clearing and grading (2 ha)</t>
  </si>
  <si>
    <t xml:space="preserve">Poultry zone site preparation</t>
  </si>
  <si>
    <t xml:space="preserve">  Perimeter fencing + biosecurity</t>
  </si>
  <si>
    <t xml:space="preserve">Predator-proof, disease barrier</t>
  </si>
  <si>
    <t xml:space="preserve">  Internal roads / hardstanding</t>
  </si>
  <si>
    <t xml:space="preserve">All-weather access for feed delivery and transport</t>
  </si>
  <si>
    <t xml:space="preserve">  Water supply (bore/tank + piping)</t>
  </si>
  <si>
    <t xml:space="preserve">Dedicated poultry water — ~3,000 liters/day</t>
  </si>
  <si>
    <t xml:space="preserve">  Manure composting area</t>
  </si>
  <si>
    <t xml:space="preserve">Concrete pad + covered storage, 200 m²</t>
  </si>
  <si>
    <t xml:space="preserve">  Solar extension for poultry</t>
  </si>
  <si>
    <t xml:space="preserve">~5 kWp for fans, lights, cold room — on poultry shed roof</t>
  </si>
  <si>
    <t xml:space="preserve">Subtotal Site</t>
  </si>
  <si>
    <t xml:space="preserve">INITIAL LIVESTOCK</t>
  </si>
  <si>
    <t xml:space="preserve">  Day-old chicks (first 2 batches)</t>
  </si>
  <si>
    <t xml:space="preserve">First 2 batches at $0.60/DOC — pipeline fill</t>
  </si>
  <si>
    <t xml:space="preserve">  Point-of-lay pullets (layers)</t>
  </si>
  <si>
    <t xml:space="preserve">5,000 pullets at $5 each — one-time</t>
  </si>
  <si>
    <t xml:space="preserve">  Guinea fowl keets (founding)</t>
  </si>
  <si>
    <t xml:space="preserve">1,000 keets for first batch + breeding stock</t>
  </si>
  <si>
    <t xml:space="preserve">  Ducklings (founding)</t>
  </si>
  <si>
    <t xml:space="preserve">500 ducklings — breed own thereafter</t>
  </si>
  <si>
    <t xml:space="preserve">Subtotal Livestock</t>
  </si>
  <si>
    <t xml:space="preserve">CONTINGENCY (10%)</t>
  </si>
  <si>
    <t xml:space="preserve">TOTAL POULTRY CAPITAL INVESTMENT</t>
  </si>
  <si>
    <t xml:space="preserve">Payback period (from poultry profit alone)</t>
  </si>
  <si>
    <t xml:space="preserve">years</t>
  </si>
  <si>
    <t xml:space="preserve">ADDITIONAL LAND FOR POULTRY</t>
  </si>
  <si>
    <t xml:space="preserve">Housing footprint</t>
  </si>
  <si>
    <t xml:space="preserve">ha</t>
  </si>
  <si>
    <t xml:space="preserve">All structures</t>
  </si>
  <si>
    <t xml:space="preserve">Outdoor runs / ranging area</t>
  </si>
  <si>
    <t xml:space="preserve">Guinea fowl + duck ranging area</t>
  </si>
  <si>
    <t xml:space="preserve">Manure composting</t>
  </si>
  <si>
    <t xml:space="preserve">Composting pads</t>
  </si>
  <si>
    <t xml:space="preserve">Buffer / biosecurity zone</t>
  </si>
  <si>
    <t xml:space="preserve">Separation from other livestock</t>
  </si>
  <si>
    <t xml:space="preserve">TOTAL ADDITIONAL LAND</t>
  </si>
  <si>
    <t xml:space="preserve">Added to main farm footprint</t>
  </si>
  <si>
    <t xml:space="preserve">IMPACT ON TOTAL FARM ANNUAL INCOME</t>
  </si>
  <si>
    <t xml:space="preserve">Before
(Original)</t>
  </si>
  <si>
    <t xml:space="preserve">After
(35k Poultry)</t>
  </si>
  <si>
    <t xml:space="preserve">Change</t>
  </si>
  <si>
    <t xml:space="preserve">REVENUE</t>
  </si>
  <si>
    <t xml:space="preserve">  Tilapia operations</t>
  </si>
  <si>
    <t xml:space="preserve">  Poultry (chicken, guinea, duck)</t>
  </si>
  <si>
    <t xml:space="preserve">  Sheep</t>
  </si>
  <si>
    <t xml:space="preserve">  Crop operations</t>
  </si>
  <si>
    <t xml:space="preserve">  Processed products</t>
  </si>
  <si>
    <t xml:space="preserve">  Processing fees</t>
  </si>
  <si>
    <t xml:space="preserve">TOTAL REVENUE</t>
  </si>
  <si>
    <t xml:space="preserve">OPERATING COSTS</t>
  </si>
  <si>
    <t xml:space="preserve">  Previous total costs</t>
  </si>
  <si>
    <t xml:space="preserve">  Remove old poultry costs</t>
  </si>
  <si>
    <t xml:space="preserve">  Add new poultry feed cost</t>
  </si>
  <si>
    <t xml:space="preserve">  Add new poultry operating costs</t>
  </si>
  <si>
    <t xml:space="preserve">TOTAL OPERATING COSTS</t>
  </si>
  <si>
    <t xml:space="preserve">NET ANNUAL PROFIT</t>
  </si>
  <si>
    <t xml:space="preserve">Monthly Revenue</t>
  </si>
  <si>
    <t xml:space="preserve">Monthly Profit</t>
  </si>
  <si>
    <t xml:space="preserve">Operating Margin</t>
  </si>
  <si>
    <t xml:space="preserve">KEY IMPACT METRICS</t>
  </si>
  <si>
    <t xml:space="preserve">Revenue increase ($)</t>
  </si>
  <si>
    <t xml:space="preserve">Revenue increase (%)</t>
  </si>
  <si>
    <t xml:space="preserve">Profit increase ($)</t>
  </si>
  <si>
    <t xml:space="preserve">Profit increase (%)</t>
  </si>
  <si>
    <t xml:space="preserve">New monthly revenue</t>
  </si>
  <si>
    <t xml:space="preserve">New monthly profit</t>
  </si>
  <si>
    <t xml:space="preserve">Poultry as % of new revenue</t>
  </si>
  <si>
    <t xml:space="preserve">Additional CapEx required</t>
  </si>
  <si>
    <t xml:space="preserve">CapEx payback from incremental profit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</si>
</sst>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0.00"/>
    <numFmt numFmtId="169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2D1F0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E2D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32.8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</row>
    <row r="5" customFormat="false" ht="15" hidden="false" customHeight="false" outlineLevel="0" collapsed="false">
      <c r="A5" s="5" t="s">
        <v>6</v>
      </c>
      <c r="B5" s="6" t="n">
        <v>35000</v>
      </c>
      <c r="C5" s="7" t="s">
        <v>7</v>
      </c>
      <c r="D5" s="8" t="s">
        <v>8</v>
      </c>
    </row>
    <row r="6" customFormat="false" ht="15" hidden="false" customHeight="false" outlineLevel="0" collapsed="false">
      <c r="A6" s="5" t="s">
        <v>9</v>
      </c>
      <c r="B6" s="6" t="n">
        <v>25000</v>
      </c>
      <c r="C6" s="7" t="s">
        <v>7</v>
      </c>
      <c r="D6" s="8" t="s">
        <v>10</v>
      </c>
    </row>
    <row r="7" customFormat="false" ht="15" hidden="false" customHeight="false" outlineLevel="0" collapsed="false">
      <c r="A7" s="5" t="s">
        <v>11</v>
      </c>
      <c r="B7" s="6" t="n">
        <v>5000</v>
      </c>
      <c r="C7" s="7" t="s">
        <v>12</v>
      </c>
      <c r="D7" s="8" t="s">
        <v>13</v>
      </c>
    </row>
    <row r="8" customFormat="false" ht="15" hidden="false" customHeight="false" outlineLevel="0" collapsed="false">
      <c r="A8" s="5" t="s">
        <v>14</v>
      </c>
      <c r="B8" s="6" t="n">
        <v>3000</v>
      </c>
      <c r="C8" s="7" t="s">
        <v>7</v>
      </c>
      <c r="D8" s="8" t="s">
        <v>15</v>
      </c>
    </row>
    <row r="9" customFormat="false" ht="15" hidden="false" customHeight="false" outlineLevel="0" collapsed="false">
      <c r="A9" s="5" t="s">
        <v>16</v>
      </c>
      <c r="B9" s="6" t="n">
        <v>2000</v>
      </c>
      <c r="C9" s="7" t="s">
        <v>7</v>
      </c>
      <c r="D9" s="8" t="s">
        <v>17</v>
      </c>
    </row>
    <row r="10" customFormat="false" ht="15" hidden="false" customHeight="false" outlineLevel="0" collapsed="false">
      <c r="A10" s="9" t="s">
        <v>18</v>
      </c>
      <c r="B10" s="10" t="n">
        <f aca="false">B6+B8+B9+B7</f>
        <v>35000</v>
      </c>
      <c r="C10" s="7" t="s">
        <v>12</v>
      </c>
      <c r="D10" s="8" t="s">
        <v>19</v>
      </c>
    </row>
    <row r="12" customFormat="false" ht="15" hidden="false" customHeight="false" outlineLevel="0" collapsed="false">
      <c r="A12" s="11" t="s">
        <v>20</v>
      </c>
      <c r="B12" s="12"/>
      <c r="C12" s="12"/>
      <c r="D12" s="12"/>
    </row>
    <row r="13" customFormat="false" ht="15" hidden="false" customHeight="false" outlineLevel="0" collapsed="false">
      <c r="A13" s="9" t="s">
        <v>21</v>
      </c>
      <c r="B13" s="13" t="n">
        <f aca="false">ROUNDUP(B6/B17,0)</f>
        <v>5000</v>
      </c>
      <c r="C13" s="7" t="s">
        <v>12</v>
      </c>
      <c r="D13" s="8" t="s">
        <v>22</v>
      </c>
    </row>
    <row r="14" customFormat="false" ht="15" hidden="false" customHeight="false" outlineLevel="0" collapsed="false">
      <c r="A14" s="9" t="s">
        <v>23</v>
      </c>
      <c r="B14" s="6" t="n">
        <v>49</v>
      </c>
      <c r="C14" s="7" t="s">
        <v>24</v>
      </c>
      <c r="D14" s="8" t="s">
        <v>25</v>
      </c>
    </row>
    <row r="15" customFormat="false" ht="15" hidden="false" customHeight="false" outlineLevel="0" collapsed="false">
      <c r="A15" s="9" t="s">
        <v>26</v>
      </c>
      <c r="B15" s="6" t="n">
        <v>14</v>
      </c>
      <c r="C15" s="7" t="s">
        <v>24</v>
      </c>
      <c r="D15" s="8" t="s">
        <v>27</v>
      </c>
    </row>
    <row r="16" customFormat="false" ht="15" hidden="false" customHeight="false" outlineLevel="0" collapsed="false">
      <c r="A16" s="9" t="s">
        <v>28</v>
      </c>
      <c r="B16" s="13" t="n">
        <f aca="false">B14+B15</f>
        <v>63</v>
      </c>
      <c r="C16" s="7" t="s">
        <v>24</v>
      </c>
      <c r="D16" s="8" t="s">
        <v>29</v>
      </c>
    </row>
    <row r="17" customFormat="false" ht="15" hidden="false" customHeight="false" outlineLevel="0" collapsed="false">
      <c r="A17" s="9" t="s">
        <v>30</v>
      </c>
      <c r="B17" s="13" t="n">
        <f aca="false">ROUNDDOWN(365/B16,0)</f>
        <v>5</v>
      </c>
      <c r="C17" s="7" t="s">
        <v>31</v>
      </c>
      <c r="D17" s="8" t="s">
        <v>32</v>
      </c>
    </row>
    <row r="18" customFormat="false" ht="15" hidden="false" customHeight="false" outlineLevel="0" collapsed="false">
      <c r="A18" s="9" t="s">
        <v>33</v>
      </c>
      <c r="B18" s="14" t="n">
        <v>0.05</v>
      </c>
      <c r="C18" s="7"/>
      <c r="D18" s="8" t="s">
        <v>34</v>
      </c>
    </row>
    <row r="19" customFormat="false" ht="15" hidden="false" customHeight="false" outlineLevel="0" collapsed="false">
      <c r="A19" s="9" t="s">
        <v>35</v>
      </c>
      <c r="B19" s="13" t="n">
        <f aca="false">B13*(1-B18)</f>
        <v>4750</v>
      </c>
      <c r="C19" s="7" t="s">
        <v>12</v>
      </c>
      <c r="D19" s="8" t="s">
        <v>36</v>
      </c>
    </row>
    <row r="20" customFormat="false" ht="15" hidden="false" customHeight="false" outlineLevel="0" collapsed="false">
      <c r="A20" s="9" t="s">
        <v>37</v>
      </c>
      <c r="B20" s="13" t="n">
        <f aca="false">B19*B17</f>
        <v>23750</v>
      </c>
      <c r="C20" s="7" t="s">
        <v>7</v>
      </c>
      <c r="D20" s="8" t="s">
        <v>38</v>
      </c>
    </row>
    <row r="21" customFormat="false" ht="15" hidden="false" customHeight="false" outlineLevel="0" collapsed="false">
      <c r="A21" s="9" t="s">
        <v>39</v>
      </c>
      <c r="B21" s="15" t="n">
        <v>2</v>
      </c>
      <c r="C21" s="7" t="s">
        <v>40</v>
      </c>
      <c r="D21" s="8" t="s">
        <v>41</v>
      </c>
    </row>
    <row r="22" customFormat="false" ht="15" hidden="false" customHeight="false" outlineLevel="0" collapsed="false">
      <c r="A22" s="9" t="s">
        <v>42</v>
      </c>
      <c r="B22" s="13" t="n">
        <f aca="false">B21*0.75</f>
        <v>1.5</v>
      </c>
      <c r="C22" s="7" t="s">
        <v>40</v>
      </c>
      <c r="D22" s="8" t="s">
        <v>43</v>
      </c>
    </row>
    <row r="23" customFormat="false" ht="15" hidden="false" customHeight="false" outlineLevel="0" collapsed="false">
      <c r="A23" s="9" t="s">
        <v>44</v>
      </c>
      <c r="B23" s="13" t="n">
        <f aca="false">B20*B22/1000</f>
        <v>35.625</v>
      </c>
      <c r="C23" s="7" t="s">
        <v>45</v>
      </c>
      <c r="D23" s="8" t="s">
        <v>46</v>
      </c>
    </row>
    <row r="24" customFormat="false" ht="15" hidden="false" customHeight="false" outlineLevel="0" collapsed="false">
      <c r="A24" s="9" t="s">
        <v>47</v>
      </c>
      <c r="B24" s="6" t="n">
        <v>10</v>
      </c>
      <c r="C24" s="7" t="s">
        <v>48</v>
      </c>
      <c r="D24" s="8" t="s">
        <v>49</v>
      </c>
    </row>
    <row r="25" customFormat="false" ht="15" hidden="false" customHeight="false" outlineLevel="0" collapsed="false">
      <c r="A25" s="9" t="s">
        <v>50</v>
      </c>
      <c r="B25" s="13" t="n">
        <f aca="false">B13/B24</f>
        <v>500</v>
      </c>
      <c r="C25" s="7" t="s">
        <v>51</v>
      </c>
      <c r="D25" s="8" t="s">
        <v>52</v>
      </c>
    </row>
    <row r="27" customFormat="false" ht="15" hidden="false" customHeight="false" outlineLevel="0" collapsed="false">
      <c r="A27" s="16" t="s">
        <v>53</v>
      </c>
      <c r="B27" s="17"/>
      <c r="C27" s="17"/>
      <c r="D27" s="17"/>
    </row>
    <row r="28" customFormat="false" ht="15" hidden="false" customHeight="false" outlineLevel="0" collapsed="false">
      <c r="A28" s="9" t="s">
        <v>54</v>
      </c>
      <c r="B28" s="10" t="n">
        <f aca="false">B7</f>
        <v>5000</v>
      </c>
      <c r="C28" s="7" t="s">
        <v>12</v>
      </c>
      <c r="D28" s="8" t="s">
        <v>55</v>
      </c>
    </row>
    <row r="29" customFormat="false" ht="15" hidden="false" customHeight="false" outlineLevel="0" collapsed="false">
      <c r="A29" s="9" t="s">
        <v>56</v>
      </c>
      <c r="B29" s="14" t="n">
        <v>0.7</v>
      </c>
      <c r="C29" s="7"/>
      <c r="D29" s="8" t="s">
        <v>57</v>
      </c>
    </row>
    <row r="30" customFormat="false" ht="15" hidden="false" customHeight="false" outlineLevel="0" collapsed="false">
      <c r="A30" s="9" t="s">
        <v>58</v>
      </c>
      <c r="B30" s="10" t="n">
        <f aca="false">B29*365</f>
        <v>255.5</v>
      </c>
      <c r="C30" s="7" t="s">
        <v>59</v>
      </c>
      <c r="D30" s="8" t="s">
        <v>60</v>
      </c>
    </row>
    <row r="31" customFormat="false" ht="15" hidden="false" customHeight="false" outlineLevel="0" collapsed="false">
      <c r="A31" s="9" t="s">
        <v>61</v>
      </c>
      <c r="B31" s="10" t="n">
        <f aca="false">B28*B30</f>
        <v>1277500</v>
      </c>
      <c r="C31" s="7" t="s">
        <v>62</v>
      </c>
      <c r="D31" s="8" t="s">
        <v>63</v>
      </c>
    </row>
    <row r="32" customFormat="false" ht="15" hidden="false" customHeight="false" outlineLevel="0" collapsed="false">
      <c r="A32" s="9" t="s">
        <v>64</v>
      </c>
      <c r="B32" s="10" t="n">
        <f aca="false">B31*0.05</f>
        <v>63875</v>
      </c>
      <c r="C32" s="7" t="s">
        <v>62</v>
      </c>
      <c r="D32" s="8" t="s">
        <v>65</v>
      </c>
    </row>
    <row r="33" customFormat="false" ht="15" hidden="false" customHeight="false" outlineLevel="0" collapsed="false">
      <c r="A33" s="9" t="s">
        <v>66</v>
      </c>
      <c r="B33" s="10" t="n">
        <f aca="false">B31-B32</f>
        <v>1213625</v>
      </c>
      <c r="C33" s="7" t="s">
        <v>62</v>
      </c>
      <c r="D33" s="8" t="s">
        <v>67</v>
      </c>
    </row>
    <row r="34" customFormat="false" ht="15" hidden="false" customHeight="false" outlineLevel="0" collapsed="false">
      <c r="A34" s="9" t="s">
        <v>68</v>
      </c>
      <c r="B34" s="10" t="n">
        <f aca="false">B33/12</f>
        <v>101135.416666667</v>
      </c>
      <c r="C34" s="7" t="s">
        <v>69</v>
      </c>
      <c r="D34" s="8" t="s">
        <v>70</v>
      </c>
    </row>
    <row r="35" customFormat="false" ht="15" hidden="false" customHeight="false" outlineLevel="0" collapsed="false">
      <c r="A35" s="9" t="s">
        <v>71</v>
      </c>
      <c r="B35" s="10" t="n">
        <f aca="false">B34/30</f>
        <v>3371.18055555555</v>
      </c>
      <c r="C35" s="7" t="s">
        <v>72</v>
      </c>
      <c r="D35" s="8" t="s">
        <v>73</v>
      </c>
    </row>
    <row r="36" customFormat="false" ht="15" hidden="false" customHeight="false" outlineLevel="0" collapsed="false">
      <c r="A36" s="9" t="s">
        <v>74</v>
      </c>
      <c r="B36" s="6" t="n">
        <v>18</v>
      </c>
      <c r="C36" s="7" t="s">
        <v>75</v>
      </c>
      <c r="D36" s="8" t="s">
        <v>76</v>
      </c>
    </row>
    <row r="37" customFormat="false" ht="15" hidden="false" customHeight="false" outlineLevel="0" collapsed="false">
      <c r="A37" s="9" t="s">
        <v>77</v>
      </c>
      <c r="B37" s="10" t="n">
        <f aca="false">ROUNDUP(B28*12/B36,0)</f>
        <v>3334</v>
      </c>
      <c r="C37" s="7" t="s">
        <v>78</v>
      </c>
      <c r="D37" s="8" t="s">
        <v>79</v>
      </c>
    </row>
    <row r="38" customFormat="false" ht="15" hidden="false" customHeight="false" outlineLevel="0" collapsed="false">
      <c r="A38" s="9" t="s">
        <v>80</v>
      </c>
      <c r="B38" s="18" t="n">
        <v>2.5</v>
      </c>
      <c r="C38" s="7" t="s">
        <v>81</v>
      </c>
      <c r="D38" s="8" t="s">
        <v>82</v>
      </c>
    </row>
    <row r="39" customFormat="false" ht="15" hidden="false" customHeight="false" outlineLevel="0" collapsed="false">
      <c r="A39" s="9" t="s">
        <v>83</v>
      </c>
      <c r="B39" s="6" t="n">
        <v>6</v>
      </c>
      <c r="C39" s="7" t="s">
        <v>48</v>
      </c>
      <c r="D39" s="8" t="s">
        <v>84</v>
      </c>
    </row>
    <row r="40" customFormat="false" ht="15" hidden="false" customHeight="false" outlineLevel="0" collapsed="false">
      <c r="A40" s="9" t="s">
        <v>85</v>
      </c>
      <c r="B40" s="10" t="n">
        <f aca="false">B28/B39</f>
        <v>833.333333333333</v>
      </c>
      <c r="C40" s="7" t="s">
        <v>51</v>
      </c>
      <c r="D40" s="8" t="s">
        <v>86</v>
      </c>
    </row>
    <row r="42" customFormat="false" ht="15" hidden="false" customHeight="false" outlineLevel="0" collapsed="false">
      <c r="A42" s="19" t="s">
        <v>87</v>
      </c>
      <c r="B42" s="20"/>
      <c r="C42" s="20"/>
      <c r="D42" s="20"/>
    </row>
    <row r="43" customFormat="false" ht="15" hidden="false" customHeight="false" outlineLevel="0" collapsed="false">
      <c r="A43" s="9" t="s">
        <v>88</v>
      </c>
      <c r="B43" s="10" t="n">
        <f aca="false">B8</f>
        <v>3000</v>
      </c>
      <c r="C43" s="7" t="s">
        <v>12</v>
      </c>
      <c r="D43" s="8" t="s">
        <v>89</v>
      </c>
    </row>
    <row r="44" customFormat="false" ht="15" hidden="false" customHeight="false" outlineLevel="0" collapsed="false">
      <c r="A44" s="9" t="s">
        <v>90</v>
      </c>
      <c r="B44" s="15" t="n">
        <v>1.5</v>
      </c>
      <c r="C44" s="7" t="s">
        <v>40</v>
      </c>
      <c r="D44" s="8" t="s">
        <v>91</v>
      </c>
    </row>
    <row r="45" customFormat="false" ht="15" hidden="false" customHeight="false" outlineLevel="0" collapsed="false">
      <c r="A45" s="9" t="s">
        <v>92</v>
      </c>
      <c r="B45" s="15" t="n">
        <v>1.5</v>
      </c>
      <c r="C45" s="7" t="s">
        <v>93</v>
      </c>
      <c r="D45" s="8" t="s">
        <v>94</v>
      </c>
    </row>
    <row r="46" customFormat="false" ht="15" hidden="false" customHeight="false" outlineLevel="0" collapsed="false">
      <c r="A46" s="9" t="s">
        <v>95</v>
      </c>
      <c r="B46" s="6" t="n">
        <v>3</v>
      </c>
      <c r="C46" s="7" t="s">
        <v>96</v>
      </c>
      <c r="D46" s="8" t="s">
        <v>97</v>
      </c>
    </row>
    <row r="47" customFormat="false" ht="15" hidden="false" customHeight="false" outlineLevel="0" collapsed="false">
      <c r="A47" s="9" t="s">
        <v>98</v>
      </c>
      <c r="B47" s="14" t="n">
        <v>0.08</v>
      </c>
      <c r="C47" s="7"/>
      <c r="D47" s="8" t="s">
        <v>99</v>
      </c>
    </row>
    <row r="48" customFormat="false" ht="15" hidden="false" customHeight="false" outlineLevel="0" collapsed="false">
      <c r="A48" s="9" t="s">
        <v>100</v>
      </c>
      <c r="B48" s="10" t="n">
        <f aca="false">B43*(1-B47)</f>
        <v>2760</v>
      </c>
      <c r="C48" s="7" t="s">
        <v>12</v>
      </c>
      <c r="D48" s="8" t="s">
        <v>101</v>
      </c>
    </row>
    <row r="49" customFormat="false" ht="15" hidden="false" customHeight="false" outlineLevel="0" collapsed="false">
      <c r="A49" s="9" t="s">
        <v>102</v>
      </c>
      <c r="B49" s="10" t="n">
        <f aca="false">B9</f>
        <v>2000</v>
      </c>
      <c r="C49" s="7" t="s">
        <v>7</v>
      </c>
      <c r="D49" s="8" t="s">
        <v>103</v>
      </c>
    </row>
    <row r="50" customFormat="false" ht="15" hidden="false" customHeight="false" outlineLevel="0" collapsed="false">
      <c r="A50" s="9" t="s">
        <v>104</v>
      </c>
      <c r="B50" s="15" t="n">
        <v>2.5</v>
      </c>
      <c r="C50" s="7" t="s">
        <v>40</v>
      </c>
      <c r="D50" s="8" t="s">
        <v>105</v>
      </c>
    </row>
    <row r="51" customFormat="false" ht="15" hidden="false" customHeight="false" outlineLevel="0" collapsed="false">
      <c r="A51" s="9" t="s">
        <v>106</v>
      </c>
      <c r="B51" s="6" t="n">
        <v>200</v>
      </c>
      <c r="C51" s="7" t="s">
        <v>107</v>
      </c>
      <c r="D51" s="8" t="s">
        <v>108</v>
      </c>
    </row>
    <row r="52" customFormat="false" ht="15" hidden="false" customHeight="false" outlineLevel="0" collapsed="false">
      <c r="A52" s="9" t="s">
        <v>109</v>
      </c>
      <c r="B52" s="10" t="n">
        <f aca="false">B49*0.4</f>
        <v>800</v>
      </c>
      <c r="C52" s="7" t="s">
        <v>12</v>
      </c>
      <c r="D52" s="8" t="s">
        <v>110</v>
      </c>
    </row>
    <row r="53" customFormat="false" ht="15" hidden="false" customHeight="false" outlineLevel="0" collapsed="false">
      <c r="A53" s="9" t="s">
        <v>111</v>
      </c>
      <c r="B53" s="10" t="n">
        <f aca="false">B52*B51</f>
        <v>160000</v>
      </c>
      <c r="C53" s="7" t="s">
        <v>62</v>
      </c>
      <c r="D53" s="8" t="s">
        <v>112</v>
      </c>
    </row>
    <row r="54" customFormat="false" ht="15" hidden="false" customHeight="false" outlineLevel="0" collapsed="false">
      <c r="A54" s="9" t="s">
        <v>113</v>
      </c>
      <c r="B54" s="10" t="n">
        <f aca="false">B49*0.6*(1-0.05)</f>
        <v>1140</v>
      </c>
      <c r="C54" s="7" t="s">
        <v>12</v>
      </c>
      <c r="D54" s="8" t="s">
        <v>114</v>
      </c>
    </row>
    <row r="56" customFormat="false" ht="15" hidden="false" customHeight="false" outlineLevel="0" collapsed="false">
      <c r="A56" s="21" t="s">
        <v>115</v>
      </c>
      <c r="B56" s="22" t="s">
        <v>116</v>
      </c>
      <c r="C56" s="22" t="s">
        <v>117</v>
      </c>
      <c r="D56" s="23"/>
    </row>
    <row r="57" customFormat="false" ht="15" hidden="false" customHeight="false" outlineLevel="0" collapsed="false">
      <c r="A57" s="24" t="s">
        <v>118</v>
      </c>
    </row>
    <row r="58" customFormat="false" ht="15" hidden="false" customHeight="false" outlineLevel="0" collapsed="false">
      <c r="A58" s="9" t="s">
        <v>119</v>
      </c>
      <c r="B58" s="18" t="n">
        <v>3.5</v>
      </c>
      <c r="C58" s="7" t="s">
        <v>120</v>
      </c>
      <c r="D58" s="8" t="s">
        <v>121</v>
      </c>
    </row>
    <row r="59" customFormat="false" ht="15" hidden="false" customHeight="false" outlineLevel="0" collapsed="false">
      <c r="A59" s="9" t="s">
        <v>122</v>
      </c>
      <c r="B59" s="18" t="n">
        <v>5</v>
      </c>
      <c r="C59" s="7" t="s">
        <v>123</v>
      </c>
      <c r="D59" s="8" t="s">
        <v>124</v>
      </c>
    </row>
    <row r="60" customFormat="false" ht="15" hidden="false" customHeight="false" outlineLevel="0" collapsed="false">
      <c r="A60" s="9" t="s">
        <v>125</v>
      </c>
      <c r="B60" s="14" t="n">
        <v>0.6</v>
      </c>
      <c r="C60" s="7"/>
      <c r="D60" s="8" t="s">
        <v>126</v>
      </c>
    </row>
    <row r="61" customFormat="false" ht="15" hidden="false" customHeight="false" outlineLevel="0" collapsed="false">
      <c r="A61" s="9" t="s">
        <v>127</v>
      </c>
      <c r="B61" s="18" t="n">
        <v>3.5</v>
      </c>
      <c r="C61" s="7" t="s">
        <v>128</v>
      </c>
      <c r="D61" s="8" t="s">
        <v>129</v>
      </c>
    </row>
    <row r="62" customFormat="false" ht="15" hidden="false" customHeight="false" outlineLevel="0" collapsed="false">
      <c r="A62" s="9" t="s">
        <v>130</v>
      </c>
      <c r="B62" s="25" t="n">
        <f aca="false">B58*B21*B45</f>
        <v>10.5</v>
      </c>
      <c r="C62" s="7" t="s">
        <v>81</v>
      </c>
      <c r="D62" s="8" t="s">
        <v>131</v>
      </c>
    </row>
    <row r="63" customFormat="false" ht="15" hidden="false" customHeight="false" outlineLevel="0" collapsed="false">
      <c r="A63" s="9" t="s">
        <v>132</v>
      </c>
      <c r="B63" s="18" t="n">
        <v>4</v>
      </c>
      <c r="C63" s="7" t="s">
        <v>133</v>
      </c>
      <c r="D63" s="8" t="s">
        <v>134</v>
      </c>
    </row>
    <row r="64" customFormat="false" ht="15" hidden="false" customHeight="false" outlineLevel="0" collapsed="false">
      <c r="A64" s="9" t="s">
        <v>135</v>
      </c>
      <c r="B64" s="18" t="n">
        <v>5</v>
      </c>
      <c r="C64" s="7" t="s">
        <v>128</v>
      </c>
      <c r="D64" s="8" t="s">
        <v>136</v>
      </c>
    </row>
    <row r="66" customFormat="false" ht="15" hidden="false" customHeight="false" outlineLevel="0" collapsed="false">
      <c r="A66" s="24" t="s">
        <v>137</v>
      </c>
    </row>
    <row r="67" customFormat="false" ht="15" hidden="false" customHeight="false" outlineLevel="0" collapsed="false">
      <c r="A67" s="9" t="s">
        <v>138</v>
      </c>
      <c r="B67" s="26" t="n">
        <f aca="false">B20*B60*B21*B58</f>
        <v>99750</v>
      </c>
      <c r="D67" s="8" t="s">
        <v>139</v>
      </c>
    </row>
    <row r="68" customFormat="false" ht="15" hidden="false" customHeight="false" outlineLevel="0" collapsed="false">
      <c r="A68" s="9" t="s">
        <v>140</v>
      </c>
      <c r="B68" s="26" t="n">
        <f aca="false">B20*(1-B60)*B22*B59</f>
        <v>71250</v>
      </c>
      <c r="D68" s="8" t="s">
        <v>141</v>
      </c>
    </row>
    <row r="69" customFormat="false" ht="15" hidden="false" customHeight="false" outlineLevel="0" collapsed="false">
      <c r="A69" s="9" t="s">
        <v>142</v>
      </c>
      <c r="B69" s="26" t="n">
        <f aca="false">B67+B68</f>
        <v>171000</v>
      </c>
      <c r="C69" s="26" t="n">
        <f aca="false">B69/12</f>
        <v>14250</v>
      </c>
      <c r="D69" s="8" t="s">
        <v>143</v>
      </c>
    </row>
    <row r="70" customFormat="false" ht="15" hidden="false" customHeight="false" outlineLevel="0" collapsed="false">
      <c r="A70" s="9" t="s">
        <v>144</v>
      </c>
      <c r="B70" s="26" t="n">
        <f aca="false">B33/30*B61</f>
        <v>141589.583333333</v>
      </c>
      <c r="C70" s="26" t="n">
        <f aca="false">B70/12</f>
        <v>11799.1319444444</v>
      </c>
      <c r="D70" s="8" t="s">
        <v>145</v>
      </c>
    </row>
    <row r="71" customFormat="false" ht="15" hidden="false" customHeight="false" outlineLevel="0" collapsed="false">
      <c r="A71" s="9" t="s">
        <v>146</v>
      </c>
      <c r="B71" s="26" t="n">
        <f aca="false">B37*B38</f>
        <v>8335</v>
      </c>
      <c r="C71" s="26" t="n">
        <f aca="false">B71/12</f>
        <v>694.583333333333</v>
      </c>
      <c r="D71" s="8" t="s">
        <v>147</v>
      </c>
    </row>
    <row r="72" customFormat="false" ht="15" hidden="false" customHeight="false" outlineLevel="0" collapsed="false">
      <c r="A72" s="9" t="s">
        <v>148</v>
      </c>
      <c r="B72" s="26" t="n">
        <f aca="false">B48*B62</f>
        <v>28980</v>
      </c>
      <c r="C72" s="26" t="n">
        <f aca="false">B72/12</f>
        <v>2415</v>
      </c>
      <c r="D72" s="8" t="s">
        <v>149</v>
      </c>
    </row>
    <row r="73" customFormat="false" ht="15" hidden="false" customHeight="false" outlineLevel="0" collapsed="false">
      <c r="A73" s="9" t="s">
        <v>150</v>
      </c>
      <c r="B73" s="26" t="n">
        <f aca="false">B54*B50*B63</f>
        <v>11400</v>
      </c>
      <c r="C73" s="26" t="n">
        <f aca="false">B73/12</f>
        <v>950</v>
      </c>
      <c r="D73" s="8" t="s">
        <v>151</v>
      </c>
    </row>
    <row r="74" customFormat="false" ht="15" hidden="false" customHeight="false" outlineLevel="0" collapsed="false">
      <c r="A74" s="9" t="s">
        <v>152</v>
      </c>
      <c r="B74" s="26" t="n">
        <f aca="false">B53/30*B64</f>
        <v>26666.6666666667</v>
      </c>
      <c r="C74" s="26" t="n">
        <f aca="false">B74/12</f>
        <v>2222.22222222222</v>
      </c>
      <c r="D74" s="8" t="s">
        <v>153</v>
      </c>
    </row>
    <row r="75" customFormat="false" ht="15" hidden="false" customHeight="false" outlineLevel="0" collapsed="false">
      <c r="A75" s="9" t="s">
        <v>154</v>
      </c>
      <c r="B75" s="27" t="n">
        <v>5000</v>
      </c>
      <c r="C75" s="26" t="n">
        <f aca="false">B75/12</f>
        <v>416.666666666667</v>
      </c>
      <c r="D75" s="8" t="s">
        <v>155</v>
      </c>
    </row>
    <row r="76" customFormat="false" ht="15" hidden="false" customHeight="false" outlineLevel="0" collapsed="false">
      <c r="A76" s="28" t="s">
        <v>156</v>
      </c>
      <c r="B76" s="29" t="n">
        <f aca="false">SUM(B69:B75)</f>
        <v>392971.25</v>
      </c>
      <c r="C76" s="30" t="n">
        <f aca="false">B76/12</f>
        <v>32747.6041666667</v>
      </c>
      <c r="D76" s="8" t="s">
        <v>157</v>
      </c>
    </row>
    <row r="78" customFormat="false" ht="15" hidden="false" customHeight="false" outlineLevel="0" collapsed="false">
      <c r="A78" s="31" t="s">
        <v>158</v>
      </c>
      <c r="B78" s="32"/>
      <c r="C78" s="32"/>
      <c r="D78" s="32"/>
    </row>
    <row r="79" customFormat="false" ht="15" hidden="false" customHeight="false" outlineLevel="0" collapsed="false">
      <c r="A79" s="5" t="s">
        <v>159</v>
      </c>
      <c r="B79" s="15" t="n">
        <v>4.2</v>
      </c>
      <c r="C79" s="7" t="s">
        <v>160</v>
      </c>
      <c r="D79" s="8" t="s">
        <v>161</v>
      </c>
    </row>
    <row r="80" customFormat="false" ht="15" hidden="false" customHeight="false" outlineLevel="0" collapsed="false">
      <c r="A80" s="5" t="s">
        <v>162</v>
      </c>
      <c r="B80" s="15" t="n">
        <v>1.8</v>
      </c>
      <c r="C80" s="7"/>
      <c r="D80" s="8" t="s">
        <v>163</v>
      </c>
    </row>
    <row r="81" customFormat="false" ht="15" hidden="false" customHeight="false" outlineLevel="0" collapsed="false">
      <c r="A81" s="9" t="s">
        <v>164</v>
      </c>
      <c r="B81" s="10" t="n">
        <f aca="false">B6*B79/1000</f>
        <v>105</v>
      </c>
      <c r="C81" s="7" t="s">
        <v>165</v>
      </c>
      <c r="D81" s="8" t="s">
        <v>166</v>
      </c>
    </row>
    <row r="82" customFormat="false" ht="15" hidden="false" customHeight="false" outlineLevel="0" collapsed="false">
      <c r="A82" s="5" t="s">
        <v>167</v>
      </c>
      <c r="B82" s="14" t="n">
        <v>0.12</v>
      </c>
      <c r="C82" s="7" t="s">
        <v>168</v>
      </c>
      <c r="D82" s="8" t="s">
        <v>169</v>
      </c>
    </row>
    <row r="83" customFormat="false" ht="15" hidden="false" customHeight="false" outlineLevel="0" collapsed="false">
      <c r="A83" s="9" t="s">
        <v>170</v>
      </c>
      <c r="B83" s="10" t="n">
        <f aca="false">B7*B82*365/1000</f>
        <v>219</v>
      </c>
      <c r="C83" s="7" t="s">
        <v>165</v>
      </c>
      <c r="D83" s="8" t="s">
        <v>171</v>
      </c>
    </row>
    <row r="84" customFormat="false" ht="15" hidden="false" customHeight="false" outlineLevel="0" collapsed="false">
      <c r="A84" s="5" t="s">
        <v>172</v>
      </c>
      <c r="B84" s="15" t="n">
        <v>5</v>
      </c>
      <c r="C84" s="7" t="s">
        <v>160</v>
      </c>
      <c r="D84" s="8" t="s">
        <v>173</v>
      </c>
    </row>
    <row r="85" customFormat="false" ht="15" hidden="false" customHeight="false" outlineLevel="0" collapsed="false">
      <c r="A85" s="9" t="s">
        <v>174</v>
      </c>
      <c r="B85" s="10" t="n">
        <f aca="false">B8*B84/1000</f>
        <v>15</v>
      </c>
      <c r="C85" s="7" t="s">
        <v>165</v>
      </c>
      <c r="D85" s="8" t="s">
        <v>175</v>
      </c>
    </row>
    <row r="86" customFormat="false" ht="15" hidden="false" customHeight="false" outlineLevel="0" collapsed="false">
      <c r="A86" s="5" t="s">
        <v>176</v>
      </c>
      <c r="B86" s="14" t="n">
        <v>0.15</v>
      </c>
      <c r="C86" s="7" t="s">
        <v>168</v>
      </c>
      <c r="D86" s="8" t="s">
        <v>177</v>
      </c>
    </row>
    <row r="87" customFormat="false" ht="15" hidden="false" customHeight="false" outlineLevel="0" collapsed="false">
      <c r="A87" s="9" t="s">
        <v>178</v>
      </c>
      <c r="B87" s="10" t="n">
        <f aca="false">B9*B86*180/1000</f>
        <v>54</v>
      </c>
      <c r="C87" s="7" t="s">
        <v>165</v>
      </c>
      <c r="D87" s="8" t="s">
        <v>179</v>
      </c>
    </row>
    <row r="88" customFormat="false" ht="15" hidden="false" customHeight="false" outlineLevel="0" collapsed="false">
      <c r="A88" s="33" t="s">
        <v>180</v>
      </c>
      <c r="B88" s="34" t="n">
        <f aca="false">B81+B83+B85+B87</f>
        <v>393</v>
      </c>
      <c r="C88" s="35" t="s">
        <v>45</v>
      </c>
      <c r="D88" s="8" t="s">
        <v>181</v>
      </c>
    </row>
    <row r="89" customFormat="false" ht="15" hidden="false" customHeight="false" outlineLevel="0" collapsed="false">
      <c r="A89" s="5" t="s">
        <v>182</v>
      </c>
      <c r="B89" s="14" t="n">
        <v>0.25</v>
      </c>
      <c r="C89" s="7"/>
      <c r="D89" s="8" t="s">
        <v>183</v>
      </c>
    </row>
    <row r="90" customFormat="false" ht="15" hidden="false" customHeight="false" outlineLevel="0" collapsed="false">
      <c r="A90" s="9" t="s">
        <v>184</v>
      </c>
      <c r="B90" s="10" t="n">
        <f aca="false">B88*(1-B89)</f>
        <v>294.75</v>
      </c>
      <c r="C90" s="7" t="s">
        <v>165</v>
      </c>
      <c r="D90" s="8" t="s">
        <v>185</v>
      </c>
    </row>
    <row r="91" customFormat="false" ht="15" hidden="false" customHeight="false" outlineLevel="0" collapsed="false">
      <c r="A91" s="5" t="s">
        <v>186</v>
      </c>
      <c r="B91" s="27" t="n">
        <v>550</v>
      </c>
      <c r="C91" s="7" t="s">
        <v>187</v>
      </c>
      <c r="D91" s="8" t="s">
        <v>188</v>
      </c>
    </row>
    <row r="92" customFormat="false" ht="15" hidden="false" customHeight="false" outlineLevel="0" collapsed="false">
      <c r="A92" s="33" t="s">
        <v>189</v>
      </c>
      <c r="B92" s="36" t="n">
        <f aca="false">B90*B91</f>
        <v>162112.5</v>
      </c>
      <c r="C92" s="35" t="s">
        <v>190</v>
      </c>
      <c r="D92" s="8" t="s">
        <v>191</v>
      </c>
    </row>
    <row r="93" customFormat="false" ht="15" hidden="false" customHeight="false" outlineLevel="0" collapsed="false">
      <c r="A93" s="9" t="s">
        <v>192</v>
      </c>
      <c r="B93" s="26" t="n">
        <f aca="false">B92/12</f>
        <v>13509.375</v>
      </c>
      <c r="C93" s="7" t="s">
        <v>193</v>
      </c>
      <c r="D93" s="8" t="s">
        <v>194</v>
      </c>
    </row>
    <row r="95" customFormat="false" ht="15" hidden="false" customHeight="false" outlineLevel="0" collapsed="false">
      <c r="A95" s="31" t="s">
        <v>195</v>
      </c>
      <c r="B95" s="32"/>
      <c r="C95" s="32"/>
      <c r="D95" s="32"/>
    </row>
    <row r="96" customFormat="false" ht="15" hidden="false" customHeight="false" outlineLevel="0" collapsed="false">
      <c r="A96" s="9" t="s">
        <v>196</v>
      </c>
      <c r="B96" s="26" t="n">
        <f aca="false">B6*0.6</f>
        <v>15000</v>
      </c>
      <c r="D96" s="8" t="s">
        <v>197</v>
      </c>
    </row>
    <row r="97" customFormat="false" ht="15" hidden="false" customHeight="false" outlineLevel="0" collapsed="false">
      <c r="A97" s="9" t="s">
        <v>198</v>
      </c>
      <c r="B97" s="26" t="n">
        <f aca="false">B37*5</f>
        <v>16670</v>
      </c>
      <c r="D97" s="8" t="s">
        <v>199</v>
      </c>
    </row>
    <row r="98" customFormat="false" ht="15" hidden="false" customHeight="false" outlineLevel="0" collapsed="false">
      <c r="A98" s="9" t="s">
        <v>200</v>
      </c>
      <c r="B98" s="26" t="n">
        <f aca="false">B8*0.8</f>
        <v>2400</v>
      </c>
      <c r="D98" s="8" t="s">
        <v>201</v>
      </c>
    </row>
    <row r="99" customFormat="false" ht="15" hidden="false" customHeight="false" outlineLevel="0" collapsed="false">
      <c r="A99" s="9" t="s">
        <v>202</v>
      </c>
      <c r="B99" s="26" t="n">
        <f aca="false">B9*0.5*0.3</f>
        <v>300</v>
      </c>
      <c r="D99" s="8" t="s">
        <v>203</v>
      </c>
    </row>
    <row r="100" customFormat="false" ht="15" hidden="false" customHeight="false" outlineLevel="0" collapsed="false">
      <c r="A100" s="9" t="s">
        <v>204</v>
      </c>
      <c r="B100" s="26" t="n">
        <f aca="false">(B6+B7+B8+B9)*0.25</f>
        <v>8750</v>
      </c>
      <c r="D100" s="8" t="s">
        <v>205</v>
      </c>
    </row>
    <row r="101" customFormat="false" ht="15" hidden="false" customHeight="false" outlineLevel="0" collapsed="false">
      <c r="A101" s="5" t="s">
        <v>206</v>
      </c>
      <c r="B101" s="27" t="n">
        <v>3000</v>
      </c>
      <c r="D101" s="8" t="s">
        <v>207</v>
      </c>
    </row>
    <row r="102" customFormat="false" ht="15" hidden="false" customHeight="false" outlineLevel="0" collapsed="false">
      <c r="A102" s="5" t="s">
        <v>208</v>
      </c>
      <c r="B102" s="27" t="n">
        <v>2500</v>
      </c>
      <c r="D102" s="8" t="s">
        <v>209</v>
      </c>
    </row>
    <row r="103" customFormat="false" ht="15" hidden="false" customHeight="false" outlineLevel="0" collapsed="false">
      <c r="A103" s="5" t="s">
        <v>210</v>
      </c>
      <c r="B103" s="27" t="n">
        <v>2000</v>
      </c>
      <c r="D103" s="8" t="s">
        <v>211</v>
      </c>
    </row>
    <row r="104" customFormat="false" ht="15" hidden="false" customHeight="false" outlineLevel="0" collapsed="false">
      <c r="A104" s="9" t="s">
        <v>212</v>
      </c>
      <c r="B104" s="26" t="n">
        <f aca="false">4*2400+1*2400*2.5</f>
        <v>15600</v>
      </c>
      <c r="D104" s="8" t="s">
        <v>213</v>
      </c>
    </row>
    <row r="105" customFormat="false" ht="15" hidden="false" customHeight="false" outlineLevel="0" collapsed="false">
      <c r="A105" s="5" t="s">
        <v>214</v>
      </c>
      <c r="B105" s="27" t="n">
        <v>3000</v>
      </c>
      <c r="D105" s="8" t="s">
        <v>215</v>
      </c>
    </row>
    <row r="106" customFormat="false" ht="15" hidden="false" customHeight="false" outlineLevel="0" collapsed="false">
      <c r="A106" s="5" t="s">
        <v>216</v>
      </c>
      <c r="B106" s="27" t="n">
        <v>4000</v>
      </c>
      <c r="D106" s="8" t="s">
        <v>217</v>
      </c>
    </row>
    <row r="107" customFormat="false" ht="15" hidden="false" customHeight="false" outlineLevel="0" collapsed="false">
      <c r="A107" s="33" t="s">
        <v>218</v>
      </c>
      <c r="B107" s="36" t="n">
        <f aca="false">SUM(B96:B106)</f>
        <v>73220</v>
      </c>
      <c r="D107" s="8" t="s">
        <v>219</v>
      </c>
    </row>
    <row r="109" customFormat="false" ht="15" hidden="false" customHeight="false" outlineLevel="0" collapsed="false">
      <c r="A109" s="37" t="s">
        <v>220</v>
      </c>
      <c r="B109" s="38" t="s">
        <v>116</v>
      </c>
      <c r="C109" s="38" t="s">
        <v>117</v>
      </c>
      <c r="D109" s="39"/>
    </row>
    <row r="110" customFormat="false" ht="15" hidden="false" customHeight="false" outlineLevel="0" collapsed="false">
      <c r="A110" s="9" t="s">
        <v>221</v>
      </c>
      <c r="B110" s="26" t="n">
        <f aca="false">B76</f>
        <v>392971.25</v>
      </c>
      <c r="C110" s="26" t="n">
        <f aca="false">B76/12</f>
        <v>32747.6041666667</v>
      </c>
    </row>
    <row r="111" customFormat="false" ht="15" hidden="false" customHeight="false" outlineLevel="0" collapsed="false">
      <c r="A111" s="9" t="s">
        <v>222</v>
      </c>
      <c r="B111" s="26" t="n">
        <f aca="false">B92</f>
        <v>162112.5</v>
      </c>
      <c r="C111" s="26" t="n">
        <f aca="false">B92/12</f>
        <v>13509.375</v>
      </c>
    </row>
    <row r="112" customFormat="false" ht="15" hidden="false" customHeight="false" outlineLevel="0" collapsed="false">
      <c r="A112" s="9" t="s">
        <v>223</v>
      </c>
      <c r="B112" s="26" t="n">
        <f aca="false">B107</f>
        <v>73220</v>
      </c>
      <c r="C112" s="26" t="n">
        <f aca="false">B107/12</f>
        <v>6101.66666666667</v>
      </c>
    </row>
    <row r="113" customFormat="false" ht="15" hidden="false" customHeight="false" outlineLevel="0" collapsed="false">
      <c r="A113" s="33" t="s">
        <v>224</v>
      </c>
      <c r="B113" s="36" t="n">
        <f aca="false">B111+B112</f>
        <v>235332.5</v>
      </c>
      <c r="C113" s="36" t="n">
        <f aca="false">C111+C112</f>
        <v>19611.0416666667</v>
      </c>
    </row>
    <row r="114" customFormat="false" ht="15" hidden="false" customHeight="false" outlineLevel="0" collapsed="false">
      <c r="A114" s="28" t="s">
        <v>225</v>
      </c>
      <c r="B114" s="29" t="n">
        <f aca="false">B110-B113</f>
        <v>157638.75</v>
      </c>
      <c r="C114" s="29" t="n">
        <f aca="false">C110-C113</f>
        <v>13136.5625</v>
      </c>
    </row>
    <row r="115" customFormat="false" ht="15" hidden="false" customHeight="false" outlineLevel="0" collapsed="false">
      <c r="A115" s="9" t="s">
        <v>226</v>
      </c>
      <c r="B115" s="40" t="n">
        <f aca="false">B114/B110</f>
        <v>0.401145758118437</v>
      </c>
    </row>
    <row r="116" customFormat="false" ht="15" hidden="false" customHeight="false" outlineLevel="0" collapsed="false">
      <c r="A116" s="9" t="s">
        <v>227</v>
      </c>
      <c r="B116" s="25" t="n">
        <f aca="false">B113/(B23*1000+B48*B44+B54*B50)</f>
        <v>5.5222926199695</v>
      </c>
    </row>
    <row r="117" customFormat="false" ht="15" hidden="false" customHeight="false" outlineLevel="0" collapsed="false">
      <c r="A117" s="9" t="s">
        <v>228</v>
      </c>
      <c r="B117" s="25" t="n">
        <f aca="false">B110/(B23*1000+B48*B44+B54*B50)</f>
        <v>9.22143024756541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2"/>
  </cols>
  <sheetData>
    <row r="1" customFormat="false" ht="32.8" hidden="false" customHeight="false" outlineLevel="0" collapsed="false">
      <c r="A1" s="1" t="s">
        <v>229</v>
      </c>
    </row>
    <row r="2" customFormat="false" ht="26.8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11" t="s">
        <v>231</v>
      </c>
      <c r="B4" s="41" t="s">
        <v>232</v>
      </c>
      <c r="C4" s="41" t="s">
        <v>233</v>
      </c>
      <c r="D4" s="11" t="s">
        <v>234</v>
      </c>
    </row>
    <row r="5" customFormat="false" ht="32.8" hidden="false" customHeight="false" outlineLevel="0" collapsed="false">
      <c r="A5" s="9" t="s">
        <v>235</v>
      </c>
      <c r="B5" s="27" t="n">
        <v>18000</v>
      </c>
      <c r="C5" s="7" t="s">
        <v>236</v>
      </c>
      <c r="D5" s="8" t="s">
        <v>237</v>
      </c>
    </row>
    <row r="6" customFormat="false" ht="22.35" hidden="false" customHeight="false" outlineLevel="0" collapsed="false">
      <c r="A6" s="9" t="s">
        <v>238</v>
      </c>
      <c r="B6" s="27" t="n">
        <v>12000</v>
      </c>
      <c r="C6" s="7" t="s">
        <v>239</v>
      </c>
      <c r="D6" s="8" t="s">
        <v>240</v>
      </c>
    </row>
    <row r="7" customFormat="false" ht="22.35" hidden="false" customHeight="false" outlineLevel="0" collapsed="false">
      <c r="A7" s="9" t="s">
        <v>241</v>
      </c>
      <c r="B7" s="27" t="n">
        <v>15000</v>
      </c>
      <c r="C7" s="7" t="s">
        <v>239</v>
      </c>
      <c r="D7" s="8" t="s">
        <v>242</v>
      </c>
    </row>
    <row r="8" customFormat="false" ht="22.35" hidden="false" customHeight="false" outlineLevel="0" collapsed="false">
      <c r="A8" s="9" t="s">
        <v>243</v>
      </c>
      <c r="B8" s="27" t="n">
        <v>5000</v>
      </c>
      <c r="C8" s="7" t="s">
        <v>236</v>
      </c>
      <c r="D8" s="8" t="s">
        <v>244</v>
      </c>
    </row>
    <row r="9" customFormat="false" ht="15" hidden="false" customHeight="false" outlineLevel="0" collapsed="false">
      <c r="A9" s="9" t="s">
        <v>245</v>
      </c>
      <c r="B9" s="27" t="n">
        <v>3000</v>
      </c>
      <c r="C9" s="7" t="s">
        <v>239</v>
      </c>
      <c r="D9" s="8" t="s">
        <v>246</v>
      </c>
    </row>
    <row r="10" customFormat="false" ht="15" hidden="false" customHeight="false" outlineLevel="0" collapsed="false">
      <c r="A10" s="9" t="s">
        <v>247</v>
      </c>
      <c r="B10" s="27" t="n">
        <v>2000</v>
      </c>
      <c r="C10" s="7" t="s">
        <v>239</v>
      </c>
      <c r="D10" s="8" t="s">
        <v>248</v>
      </c>
    </row>
    <row r="11" customFormat="false" ht="15" hidden="false" customHeight="false" outlineLevel="0" collapsed="false">
      <c r="A11" s="9" t="s">
        <v>249</v>
      </c>
      <c r="B11" s="27" t="n">
        <v>8000</v>
      </c>
      <c r="C11" s="7" t="s">
        <v>239</v>
      </c>
      <c r="D11" s="8" t="s">
        <v>250</v>
      </c>
    </row>
    <row r="12" customFormat="false" ht="22.35" hidden="false" customHeight="false" outlineLevel="0" collapsed="false">
      <c r="A12" s="9" t="s">
        <v>251</v>
      </c>
      <c r="B12" s="27" t="n">
        <v>4000</v>
      </c>
      <c r="C12" s="7" t="s">
        <v>239</v>
      </c>
      <c r="D12" s="8" t="s">
        <v>252</v>
      </c>
    </row>
    <row r="13" customFormat="false" ht="22.35" hidden="false" customHeight="false" outlineLevel="0" collapsed="false">
      <c r="A13" s="9" t="s">
        <v>253</v>
      </c>
      <c r="B13" s="27" t="n">
        <v>12000</v>
      </c>
      <c r="C13" s="7" t="s">
        <v>239</v>
      </c>
      <c r="D13" s="8" t="s">
        <v>254</v>
      </c>
    </row>
    <row r="14" customFormat="false" ht="15" hidden="false" customHeight="false" outlineLevel="0" collapsed="false">
      <c r="A14" s="11" t="s">
        <v>255</v>
      </c>
      <c r="B14" s="42" t="n">
        <f aca="false">SUM(B5:B13)</f>
        <v>79000</v>
      </c>
      <c r="C14" s="43"/>
      <c r="D14" s="8"/>
    </row>
    <row r="16" customFormat="false" ht="15" hidden="false" customHeight="false" outlineLevel="0" collapsed="false">
      <c r="A16" s="19" t="s">
        <v>256</v>
      </c>
      <c r="B16" s="20"/>
      <c r="C16" s="20"/>
    </row>
    <row r="17" customFormat="false" ht="15" hidden="false" customHeight="false" outlineLevel="0" collapsed="false">
      <c r="A17" s="9" t="s">
        <v>257</v>
      </c>
      <c r="B17" s="27" t="n">
        <v>3000</v>
      </c>
      <c r="C17" s="7" t="s">
        <v>258</v>
      </c>
      <c r="D17" s="8" t="s">
        <v>259</v>
      </c>
    </row>
    <row r="18" customFormat="false" ht="15" hidden="false" customHeight="false" outlineLevel="0" collapsed="false">
      <c r="A18" s="9" t="s">
        <v>260</v>
      </c>
      <c r="B18" s="27" t="n">
        <v>4000</v>
      </c>
      <c r="C18" s="7" t="s">
        <v>261</v>
      </c>
      <c r="D18" s="8" t="s">
        <v>262</v>
      </c>
    </row>
    <row r="19" customFormat="false" ht="15" hidden="false" customHeight="false" outlineLevel="0" collapsed="false">
      <c r="A19" s="9" t="s">
        <v>263</v>
      </c>
      <c r="B19" s="27" t="n">
        <v>2500</v>
      </c>
      <c r="C19" s="7" t="s">
        <v>264</v>
      </c>
      <c r="D19" s="8" t="s">
        <v>265</v>
      </c>
    </row>
    <row r="20" customFormat="false" ht="15" hidden="false" customHeight="false" outlineLevel="0" collapsed="false">
      <c r="A20" s="9" t="s">
        <v>266</v>
      </c>
      <c r="B20" s="27" t="n">
        <v>3000</v>
      </c>
      <c r="C20" s="7" t="s">
        <v>267</v>
      </c>
      <c r="D20" s="8" t="s">
        <v>268</v>
      </c>
    </row>
    <row r="21" customFormat="false" ht="15" hidden="false" customHeight="false" outlineLevel="0" collapsed="false">
      <c r="A21" s="9" t="s">
        <v>269</v>
      </c>
      <c r="B21" s="27" t="n">
        <v>4000</v>
      </c>
      <c r="C21" s="7" t="s">
        <v>261</v>
      </c>
      <c r="D21" s="8" t="s">
        <v>270</v>
      </c>
    </row>
    <row r="22" customFormat="false" ht="15" hidden="false" customHeight="false" outlineLevel="0" collapsed="false">
      <c r="A22" s="9" t="s">
        <v>271</v>
      </c>
      <c r="B22" s="27" t="n">
        <v>1000</v>
      </c>
      <c r="C22" s="7" t="s">
        <v>261</v>
      </c>
      <c r="D22" s="8" t="s">
        <v>272</v>
      </c>
    </row>
    <row r="23" customFormat="false" ht="15" hidden="false" customHeight="false" outlineLevel="0" collapsed="false">
      <c r="A23" s="9" t="s">
        <v>273</v>
      </c>
      <c r="B23" s="27" t="n">
        <v>2500</v>
      </c>
      <c r="C23" s="7" t="s">
        <v>239</v>
      </c>
      <c r="D23" s="8" t="s">
        <v>274</v>
      </c>
    </row>
    <row r="24" customFormat="false" ht="15" hidden="false" customHeight="false" outlineLevel="0" collapsed="false">
      <c r="A24" s="9" t="s">
        <v>275</v>
      </c>
      <c r="B24" s="27" t="n">
        <v>800</v>
      </c>
      <c r="C24" s="7" t="s">
        <v>239</v>
      </c>
      <c r="D24" s="8" t="s">
        <v>276</v>
      </c>
    </row>
    <row r="25" customFormat="false" ht="15" hidden="false" customHeight="false" outlineLevel="0" collapsed="false">
      <c r="A25" s="9" t="s">
        <v>277</v>
      </c>
      <c r="B25" s="27" t="n">
        <v>200</v>
      </c>
      <c r="C25" s="7" t="s">
        <v>278</v>
      </c>
      <c r="D25" s="8" t="s">
        <v>279</v>
      </c>
    </row>
    <row r="26" customFormat="false" ht="15" hidden="false" customHeight="false" outlineLevel="0" collapsed="false">
      <c r="A26" s="9" t="s">
        <v>280</v>
      </c>
      <c r="B26" s="27" t="n">
        <v>500</v>
      </c>
      <c r="C26" s="7" t="s">
        <v>281</v>
      </c>
      <c r="D26" s="8" t="s">
        <v>282</v>
      </c>
    </row>
    <row r="27" customFormat="false" ht="15" hidden="false" customHeight="false" outlineLevel="0" collapsed="false">
      <c r="A27" s="9" t="s">
        <v>283</v>
      </c>
      <c r="B27" s="27" t="n">
        <v>8000</v>
      </c>
      <c r="C27" s="7" t="s">
        <v>239</v>
      </c>
      <c r="D27" s="8" t="s">
        <v>284</v>
      </c>
    </row>
    <row r="28" customFormat="false" ht="15" hidden="false" customHeight="false" outlineLevel="0" collapsed="false">
      <c r="A28" s="9" t="s">
        <v>285</v>
      </c>
      <c r="B28" s="27" t="n">
        <v>3000</v>
      </c>
      <c r="C28" s="7" t="s">
        <v>239</v>
      </c>
      <c r="D28" s="8" t="s">
        <v>286</v>
      </c>
    </row>
    <row r="29" customFormat="false" ht="15" hidden="false" customHeight="false" outlineLevel="0" collapsed="false">
      <c r="A29" s="9" t="s">
        <v>287</v>
      </c>
      <c r="B29" s="27" t="n">
        <v>1500</v>
      </c>
      <c r="C29" s="7" t="s">
        <v>261</v>
      </c>
      <c r="D29" s="8" t="s">
        <v>288</v>
      </c>
    </row>
    <row r="30" customFormat="false" ht="15" hidden="false" customHeight="false" outlineLevel="0" collapsed="false">
      <c r="A30" s="19" t="s">
        <v>289</v>
      </c>
      <c r="B30" s="44" t="n">
        <f aca="false">SUM(B17:B29)</f>
        <v>34000</v>
      </c>
      <c r="C30" s="45"/>
      <c r="D30" s="8"/>
    </row>
    <row r="32" customFormat="false" ht="15" hidden="false" customHeight="false" outlineLevel="0" collapsed="false">
      <c r="A32" s="16" t="s">
        <v>290</v>
      </c>
      <c r="B32" s="17"/>
      <c r="C32" s="17"/>
    </row>
    <row r="33" customFormat="false" ht="15" hidden="false" customHeight="false" outlineLevel="0" collapsed="false">
      <c r="A33" s="9" t="s">
        <v>291</v>
      </c>
      <c r="B33" s="27" t="n">
        <v>3000</v>
      </c>
      <c r="C33" s="7" t="s">
        <v>261</v>
      </c>
      <c r="D33" s="8" t="s">
        <v>292</v>
      </c>
    </row>
    <row r="34" customFormat="false" ht="15" hidden="false" customHeight="false" outlineLevel="0" collapsed="false">
      <c r="A34" s="9" t="s">
        <v>293</v>
      </c>
      <c r="B34" s="27" t="n">
        <v>5000</v>
      </c>
      <c r="C34" s="7" t="s">
        <v>261</v>
      </c>
      <c r="D34" s="8" t="s">
        <v>294</v>
      </c>
    </row>
    <row r="35" customFormat="false" ht="15" hidden="false" customHeight="false" outlineLevel="0" collapsed="false">
      <c r="A35" s="9" t="s">
        <v>295</v>
      </c>
      <c r="B35" s="27" t="n">
        <v>3000</v>
      </c>
      <c r="C35" s="7" t="s">
        <v>261</v>
      </c>
      <c r="D35" s="8" t="s">
        <v>296</v>
      </c>
    </row>
    <row r="36" customFormat="false" ht="15" hidden="false" customHeight="false" outlineLevel="0" collapsed="false">
      <c r="A36" s="9" t="s">
        <v>297</v>
      </c>
      <c r="B36" s="27" t="n">
        <v>4000</v>
      </c>
      <c r="C36" s="7" t="s">
        <v>261</v>
      </c>
      <c r="D36" s="8" t="s">
        <v>298</v>
      </c>
    </row>
    <row r="37" customFormat="false" ht="15" hidden="false" customHeight="false" outlineLevel="0" collapsed="false">
      <c r="A37" s="9" t="s">
        <v>299</v>
      </c>
      <c r="B37" s="27" t="n">
        <v>2000</v>
      </c>
      <c r="C37" s="7" t="s">
        <v>261</v>
      </c>
      <c r="D37" s="8" t="s">
        <v>300</v>
      </c>
    </row>
    <row r="38" customFormat="false" ht="22.35" hidden="false" customHeight="false" outlineLevel="0" collapsed="false">
      <c r="A38" s="9" t="s">
        <v>301</v>
      </c>
      <c r="B38" s="27" t="n">
        <v>8000</v>
      </c>
      <c r="C38" s="7" t="s">
        <v>261</v>
      </c>
      <c r="D38" s="8" t="s">
        <v>302</v>
      </c>
    </row>
    <row r="39" customFormat="false" ht="15" hidden="false" customHeight="false" outlineLevel="0" collapsed="false">
      <c r="A39" s="16" t="s">
        <v>303</v>
      </c>
      <c r="B39" s="46" t="n">
        <f aca="false">SUM(B33:B38)</f>
        <v>25000</v>
      </c>
      <c r="C39" s="47"/>
      <c r="D39" s="8"/>
    </row>
    <row r="41" customFormat="false" ht="15" hidden="false" customHeight="false" outlineLevel="0" collapsed="false">
      <c r="A41" s="48" t="s">
        <v>304</v>
      </c>
      <c r="B41" s="49"/>
      <c r="C41" s="49"/>
    </row>
    <row r="42" customFormat="false" ht="15" hidden="false" customHeight="false" outlineLevel="0" collapsed="false">
      <c r="A42" s="9" t="s">
        <v>305</v>
      </c>
      <c r="B42" s="26" t="n">
        <f aca="false">B5*2*0.6*2</f>
        <v>43200</v>
      </c>
      <c r="C42" s="7" t="s">
        <v>261</v>
      </c>
      <c r="D42" s="8" t="s">
        <v>306</v>
      </c>
    </row>
    <row r="43" customFormat="false" ht="15" hidden="false" customHeight="false" outlineLevel="0" collapsed="false">
      <c r="A43" s="9" t="s">
        <v>307</v>
      </c>
      <c r="B43" s="26" t="n">
        <f aca="false">B28*5</f>
        <v>15000</v>
      </c>
      <c r="C43" s="7" t="s">
        <v>261</v>
      </c>
      <c r="D43" s="8" t="s">
        <v>308</v>
      </c>
    </row>
    <row r="44" customFormat="false" ht="15" hidden="false" customHeight="false" outlineLevel="0" collapsed="false">
      <c r="A44" s="9" t="s">
        <v>309</v>
      </c>
      <c r="B44" s="26" t="n">
        <f aca="false">1000*0.8</f>
        <v>800</v>
      </c>
      <c r="C44" s="7" t="s">
        <v>261</v>
      </c>
      <c r="D44" s="8" t="s">
        <v>310</v>
      </c>
    </row>
    <row r="45" customFormat="false" ht="15" hidden="false" customHeight="false" outlineLevel="0" collapsed="false">
      <c r="A45" s="9" t="s">
        <v>311</v>
      </c>
      <c r="B45" s="26" t="n">
        <f aca="false">500*0.5</f>
        <v>250</v>
      </c>
      <c r="C45" s="7" t="s">
        <v>261</v>
      </c>
      <c r="D45" s="8" t="s">
        <v>312</v>
      </c>
    </row>
    <row r="46" customFormat="false" ht="15" hidden="false" customHeight="false" outlineLevel="0" collapsed="false">
      <c r="A46" s="48" t="s">
        <v>313</v>
      </c>
      <c r="B46" s="50" t="n">
        <f aca="false">SUM(B42:B45)</f>
        <v>59250</v>
      </c>
      <c r="C46" s="51"/>
      <c r="D46" s="8"/>
    </row>
    <row r="48" customFormat="false" ht="15" hidden="false" customHeight="false" outlineLevel="0" collapsed="false">
      <c r="A48" s="52" t="s">
        <v>314</v>
      </c>
      <c r="B48" s="26" t="n">
        <f aca="false">(B14+B30+B39+B46)*0.1</f>
        <v>19725</v>
      </c>
    </row>
    <row r="50" customFormat="false" ht="32.8" hidden="false" customHeight="false" outlineLevel="0" collapsed="false">
      <c r="A50" s="53" t="s">
        <v>315</v>
      </c>
      <c r="B50" s="54" t="n">
        <f aca="false">B14+B30+B39+B46+B48</f>
        <v>216975</v>
      </c>
    </row>
    <row r="51" customFormat="false" ht="15" hidden="false" customHeight="false" outlineLevel="0" collapsed="false">
      <c r="A51" s="9" t="s">
        <v>316</v>
      </c>
      <c r="B51" s="13" t="n">
        <f aca="false">B50/'Poultry Model'!B114</f>
        <v>1.37640649903656</v>
      </c>
      <c r="C51" s="7" t="s">
        <v>317</v>
      </c>
    </row>
    <row r="53" customFormat="false" ht="15" hidden="false" customHeight="false" outlineLevel="0" collapsed="false">
      <c r="A53" s="3" t="s">
        <v>318</v>
      </c>
      <c r="B53" s="55"/>
    </row>
    <row r="54" customFormat="false" ht="15" hidden="false" customHeight="false" outlineLevel="0" collapsed="false">
      <c r="A54" s="9" t="s">
        <v>319</v>
      </c>
      <c r="B54" s="13" t="n">
        <f aca="false">('Poultry Model'!B25+'Poultry Model'!B40+150+200+100+150+50)/10000</f>
        <v>0.198333333333333</v>
      </c>
      <c r="C54" s="7" t="s">
        <v>320</v>
      </c>
      <c r="D54" s="8" t="s">
        <v>321</v>
      </c>
    </row>
    <row r="55" customFormat="false" ht="15" hidden="false" customHeight="false" outlineLevel="0" collapsed="false">
      <c r="A55" s="5" t="s">
        <v>322</v>
      </c>
      <c r="B55" s="15" t="n">
        <v>3</v>
      </c>
      <c r="C55" s="7" t="s">
        <v>320</v>
      </c>
      <c r="D55" s="8" t="s">
        <v>323</v>
      </c>
    </row>
    <row r="56" customFormat="false" ht="15" hidden="false" customHeight="false" outlineLevel="0" collapsed="false">
      <c r="A56" s="5" t="s">
        <v>324</v>
      </c>
      <c r="B56" s="15" t="n">
        <v>0.2</v>
      </c>
      <c r="C56" s="7" t="s">
        <v>320</v>
      </c>
      <c r="D56" s="8" t="s">
        <v>325</v>
      </c>
    </row>
    <row r="57" customFormat="false" ht="15" hidden="false" customHeight="false" outlineLevel="0" collapsed="false">
      <c r="A57" s="5" t="s">
        <v>326</v>
      </c>
      <c r="B57" s="15" t="n">
        <v>0.5</v>
      </c>
      <c r="C57" s="7" t="s">
        <v>320</v>
      </c>
      <c r="D57" s="8" t="s">
        <v>327</v>
      </c>
    </row>
    <row r="58" customFormat="false" ht="15" hidden="false" customHeight="false" outlineLevel="0" collapsed="false">
      <c r="A58" s="28" t="s">
        <v>328</v>
      </c>
      <c r="B58" s="56" t="n">
        <f aca="false">SUM(B54:B57)</f>
        <v>3.89833333333333</v>
      </c>
      <c r="C58" s="57" t="s">
        <v>320</v>
      </c>
      <c r="D58" s="8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32.8" hidden="false" customHeight="false" outlineLevel="0" collapsed="false">
      <c r="A1" s="1" t="s">
        <v>330</v>
      </c>
    </row>
    <row r="3" customFormat="false" ht="23.85" hidden="false" customHeight="false" outlineLevel="0" collapsed="false">
      <c r="A3" s="37"/>
      <c r="B3" s="38" t="s">
        <v>331</v>
      </c>
      <c r="C3" s="38" t="s">
        <v>332</v>
      </c>
      <c r="D3" s="38" t="s">
        <v>333</v>
      </c>
    </row>
    <row r="4" customFormat="false" ht="15" hidden="false" customHeight="false" outlineLevel="0" collapsed="false">
      <c r="A4" s="11" t="s">
        <v>334</v>
      </c>
    </row>
    <row r="5" customFormat="false" ht="15" hidden="false" customHeight="false" outlineLevel="0" collapsed="false">
      <c r="A5" s="9" t="s">
        <v>335</v>
      </c>
      <c r="B5" s="27" t="n">
        <v>519000</v>
      </c>
      <c r="C5" s="27" t="n">
        <v>519000</v>
      </c>
      <c r="D5" s="26" t="n">
        <f aca="false">C5-B5</f>
        <v>0</v>
      </c>
    </row>
    <row r="6" customFormat="false" ht="15" hidden="false" customHeight="false" outlineLevel="0" collapsed="false">
      <c r="A6" s="9" t="s">
        <v>336</v>
      </c>
      <c r="B6" s="27" t="n">
        <v>45000</v>
      </c>
      <c r="C6" s="26" t="n">
        <f aca="false">'Poultry Model'!B76</f>
        <v>392971.25</v>
      </c>
      <c r="D6" s="26" t="n">
        <f aca="false">C6-B6</f>
        <v>347971.25</v>
      </c>
    </row>
    <row r="7" customFormat="false" ht="15" hidden="false" customHeight="false" outlineLevel="0" collapsed="false">
      <c r="A7" s="9" t="s">
        <v>337</v>
      </c>
      <c r="B7" s="27" t="n">
        <v>40000</v>
      </c>
      <c r="C7" s="27" t="n">
        <v>40000</v>
      </c>
      <c r="D7" s="26" t="n">
        <f aca="false">C7-B7</f>
        <v>0</v>
      </c>
    </row>
    <row r="8" customFormat="false" ht="15" hidden="false" customHeight="false" outlineLevel="0" collapsed="false">
      <c r="A8" s="9" t="s">
        <v>338</v>
      </c>
      <c r="B8" s="27" t="n">
        <v>281000</v>
      </c>
      <c r="C8" s="27" t="n">
        <v>281000</v>
      </c>
      <c r="D8" s="26" t="n">
        <f aca="false">C8-B8</f>
        <v>0</v>
      </c>
    </row>
    <row r="9" customFormat="false" ht="15" hidden="false" customHeight="false" outlineLevel="0" collapsed="false">
      <c r="A9" s="9" t="s">
        <v>339</v>
      </c>
      <c r="B9" s="27" t="n">
        <v>133000</v>
      </c>
      <c r="C9" s="27" t="n">
        <v>133000</v>
      </c>
      <c r="D9" s="26" t="n">
        <f aca="false">C9-B9</f>
        <v>0</v>
      </c>
    </row>
    <row r="10" customFormat="false" ht="15" hidden="false" customHeight="false" outlineLevel="0" collapsed="false">
      <c r="A10" s="9" t="s">
        <v>340</v>
      </c>
      <c r="B10" s="27" t="n">
        <v>90000</v>
      </c>
      <c r="C10" s="27" t="n">
        <v>90000</v>
      </c>
      <c r="D10" s="26" t="n">
        <f aca="false">C10-B10</f>
        <v>0</v>
      </c>
    </row>
    <row r="11" customFormat="false" ht="15" hidden="false" customHeight="false" outlineLevel="0" collapsed="false">
      <c r="A11" s="21" t="s">
        <v>341</v>
      </c>
      <c r="B11" s="58" t="n">
        <f aca="false">SUM(B5:B10)</f>
        <v>1108000</v>
      </c>
      <c r="C11" s="58" t="n">
        <f aca="false">SUM(C5:C10)</f>
        <v>1455971.25</v>
      </c>
      <c r="D11" s="30" t="n">
        <f aca="false">C11-B11</f>
        <v>347971.25</v>
      </c>
    </row>
    <row r="13" customFormat="false" ht="15" hidden="false" customHeight="false" outlineLevel="0" collapsed="false">
      <c r="A13" s="11" t="s">
        <v>342</v>
      </c>
    </row>
    <row r="14" customFormat="false" ht="15" hidden="false" customHeight="false" outlineLevel="0" collapsed="false">
      <c r="A14" s="9" t="s">
        <v>343</v>
      </c>
      <c r="B14" s="27" t="n">
        <v>363636</v>
      </c>
      <c r="C14" s="27" t="n">
        <v>363636</v>
      </c>
      <c r="D14" s="26" t="n">
        <f aca="false">C14-B14</f>
        <v>0</v>
      </c>
    </row>
    <row r="15" customFormat="false" ht="15" hidden="false" customHeight="false" outlineLevel="0" collapsed="false">
      <c r="A15" s="9" t="s">
        <v>344</v>
      </c>
      <c r="B15" s="27" t="n">
        <v>0</v>
      </c>
      <c r="C15" s="27" t="n">
        <v>-30000</v>
      </c>
      <c r="D15" s="26" t="n">
        <f aca="false">C15-B15</f>
        <v>-30000</v>
      </c>
    </row>
    <row r="16" customFormat="false" ht="15" hidden="false" customHeight="false" outlineLevel="0" collapsed="false">
      <c r="A16" s="9" t="s">
        <v>345</v>
      </c>
      <c r="B16" s="27" t="n">
        <v>0</v>
      </c>
      <c r="C16" s="26" t="n">
        <f aca="false">'Poultry Model'!B92</f>
        <v>162112.5</v>
      </c>
      <c r="D16" s="26" t="n">
        <f aca="false">C16-B16</f>
        <v>162112.5</v>
      </c>
    </row>
    <row r="17" customFormat="false" ht="15" hidden="false" customHeight="false" outlineLevel="0" collapsed="false">
      <c r="A17" s="9" t="s">
        <v>346</v>
      </c>
      <c r="B17" s="27" t="n">
        <v>0</v>
      </c>
      <c r="C17" s="26" t="n">
        <f aca="false">'Poultry Model'!B107</f>
        <v>73220</v>
      </c>
      <c r="D17" s="26" t="n">
        <f aca="false">C17-B17</f>
        <v>73220</v>
      </c>
    </row>
    <row r="18" customFormat="false" ht="15" hidden="false" customHeight="false" outlineLevel="0" collapsed="false">
      <c r="A18" s="31" t="s">
        <v>347</v>
      </c>
      <c r="B18" s="59" t="n">
        <f aca="false">SUM(B14:B17)</f>
        <v>363636</v>
      </c>
      <c r="C18" s="59" t="n">
        <f aca="false">SUM(C14:C17)</f>
        <v>568968.5</v>
      </c>
      <c r="D18" s="60" t="n">
        <f aca="false">C18-B18</f>
        <v>205332.5</v>
      </c>
    </row>
    <row r="20" customFormat="false" ht="15" hidden="false" customHeight="false" outlineLevel="0" collapsed="false">
      <c r="A20" s="28" t="s">
        <v>348</v>
      </c>
      <c r="B20" s="29" t="n">
        <f aca="false">B11-B18</f>
        <v>744364</v>
      </c>
      <c r="C20" s="29" t="n">
        <f aca="false">C11-C18</f>
        <v>887002.75</v>
      </c>
      <c r="D20" s="29" t="n">
        <f aca="false">C20-B20</f>
        <v>142638.75</v>
      </c>
    </row>
    <row r="21" customFormat="false" ht="15" hidden="false" customHeight="false" outlineLevel="0" collapsed="false">
      <c r="A21" s="9" t="s">
        <v>349</v>
      </c>
      <c r="B21" s="26" t="n">
        <f aca="false">B11/12</f>
        <v>92333.3333333333</v>
      </c>
      <c r="C21" s="26" t="n">
        <f aca="false">C11/12</f>
        <v>121330.9375</v>
      </c>
      <c r="D21" s="26" t="n">
        <f aca="false">C21-B21</f>
        <v>28997.6041666667</v>
      </c>
    </row>
    <row r="22" customFormat="false" ht="15" hidden="false" customHeight="false" outlineLevel="0" collapsed="false">
      <c r="A22" s="9" t="s">
        <v>350</v>
      </c>
      <c r="B22" s="26" t="n">
        <f aca="false">B20/12</f>
        <v>62030.3333333333</v>
      </c>
      <c r="C22" s="26" t="n">
        <f aca="false">C20/12</f>
        <v>73916.8958333333</v>
      </c>
      <c r="D22" s="26" t="n">
        <f aca="false">C22-B22</f>
        <v>11886.5625</v>
      </c>
    </row>
    <row r="23" customFormat="false" ht="15" hidden="false" customHeight="false" outlineLevel="0" collapsed="false">
      <c r="A23" s="9" t="s">
        <v>351</v>
      </c>
      <c r="B23" s="40" t="n">
        <f aca="false">B20/B11</f>
        <v>0.671808664259928</v>
      </c>
      <c r="C23" s="40" t="n">
        <f aca="false">C20/C11</f>
        <v>0.609217214969046</v>
      </c>
      <c r="D23" s="40" t="n">
        <f aca="false">C23-B23</f>
        <v>-0.0625914492908822</v>
      </c>
    </row>
    <row r="25" customFormat="false" ht="15" hidden="false" customHeight="false" outlineLevel="0" collapsed="false">
      <c r="A25" s="3" t="s">
        <v>352</v>
      </c>
      <c r="B25" s="55"/>
      <c r="C25" s="55"/>
    </row>
    <row r="26" customFormat="false" ht="15" hidden="false" customHeight="false" outlineLevel="0" collapsed="false">
      <c r="A26" s="9" t="s">
        <v>353</v>
      </c>
      <c r="B26" s="61" t="n">
        <f aca="false">C11-B11</f>
        <v>347971.25</v>
      </c>
    </row>
    <row r="27" customFormat="false" ht="15" hidden="false" customHeight="false" outlineLevel="0" collapsed="false">
      <c r="A27" s="9" t="s">
        <v>354</v>
      </c>
      <c r="B27" s="62" t="n">
        <f aca="false">(C11-B11)/B11</f>
        <v>0.314053474729242</v>
      </c>
    </row>
    <row r="28" customFormat="false" ht="15" hidden="false" customHeight="false" outlineLevel="0" collapsed="false">
      <c r="A28" s="9" t="s">
        <v>355</v>
      </c>
      <c r="B28" s="61" t="n">
        <f aca="false">C20-B20</f>
        <v>142638.75</v>
      </c>
    </row>
    <row r="29" customFormat="false" ht="15" hidden="false" customHeight="false" outlineLevel="0" collapsed="false">
      <c r="A29" s="9" t="s">
        <v>356</v>
      </c>
      <c r="B29" s="62" t="n">
        <f aca="false">(C20-B20)/B20</f>
        <v>0.191624997984857</v>
      </c>
    </row>
    <row r="30" customFormat="false" ht="15" hidden="false" customHeight="false" outlineLevel="0" collapsed="false">
      <c r="A30" s="9" t="s">
        <v>357</v>
      </c>
      <c r="B30" s="61" t="n">
        <f aca="false">C11/12</f>
        <v>121330.9375</v>
      </c>
    </row>
    <row r="31" customFormat="false" ht="15" hidden="false" customHeight="false" outlineLevel="0" collapsed="false">
      <c r="A31" s="9" t="s">
        <v>358</v>
      </c>
      <c r="B31" s="61" t="n">
        <f aca="false">C20/12</f>
        <v>73916.8958333333</v>
      </c>
    </row>
    <row r="32" customFormat="false" ht="15" hidden="false" customHeight="false" outlineLevel="0" collapsed="false">
      <c r="A32" s="9" t="s">
        <v>359</v>
      </c>
      <c r="B32" s="62" t="n">
        <f aca="false">C6/C11</f>
        <v>0.269903166013752</v>
      </c>
    </row>
    <row r="33" customFormat="false" ht="15" hidden="false" customHeight="false" outlineLevel="0" collapsed="false">
      <c r="A33" s="9" t="s">
        <v>360</v>
      </c>
      <c r="B33" s="61" t="n">
        <f aca="false">'Capital Investment'!B50</f>
        <v>216975</v>
      </c>
    </row>
    <row r="34" customFormat="false" ht="15" hidden="false" customHeight="false" outlineLevel="0" collapsed="false">
      <c r="A34" s="9" t="s">
        <v>361</v>
      </c>
      <c r="B34" s="63" t="n">
        <f aca="false">B33/(C20-B20)</f>
        <v>1.52115045876384</v>
      </c>
      <c r="C34" s="7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2026-02-21T00:56:28Z</dcterms:created>
  <dc:creator>openpyxl</dc:creator>
  <dc:description/>
  <dc:language>en-US</dc:language>
  <cp:lastModifiedBy/>
  <dcterms:modified xsi:type="dcterms:W3CDTF">2026-02-21T00:56:28Z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