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Cash Flow" sheetId="2" state="visible" r:id="rId4"/>
    <sheet name="5-Year Projection" sheetId="3" state="visible" r:id="rId5"/>
    <sheet name="Tank Schedu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<sst xmlns="http://schemas.openxmlformats.org/spreadsheetml/2006/main" count="612" uniqueCount="313">
  <si>
    <t xml:space="preserve">INTEGRATED SAHEL FARM — FINANCIAL MODEL</t>
  </si>
  <si>
    <t xml:space="preserve">Key Assumptions &amp; Parameters</t>
  </si>
  <si>
    <t xml:space="preserve">TILAPIA TANK PARAMETERS</t>
  </si>
  <si>
    <t xml:space="preserve">Value</t>
  </si>
  <si>
    <t xml:space="preserve">Unit</t>
  </si>
  <si>
    <t xml:space="preserve">Notes</t>
  </si>
  <si>
    <t xml:space="preserve">Number of tanks</t>
  </si>
  <si>
    <t xml:space="preserve">tanks</t>
  </si>
  <si>
    <t xml:space="preserve">Ferrocement, 5m diameter × 1.8m deep</t>
  </si>
  <si>
    <t xml:space="preserve">Fish per tank (stocking)</t>
  </si>
  <si>
    <t xml:space="preserve">fingerlings</t>
  </si>
  <si>
    <t xml:space="preserve">50-60 fish/m³ at harvest</t>
  </si>
  <si>
    <t xml:space="preserve">Tank volume</t>
  </si>
  <si>
    <t xml:space="preserve">m³</t>
  </si>
  <si>
    <t xml:space="preserve">~35 m³ per tank</t>
  </si>
  <si>
    <t xml:space="preserve">Grow-out cycle</t>
  </si>
  <si>
    <t xml:space="preserve">months</t>
  </si>
  <si>
    <t xml:space="preserve">Stocking to harvest</t>
  </si>
  <si>
    <t xml:space="preserve">Survival rate</t>
  </si>
  <si>
    <t xml:space="preserve">85% typical for intensive tanks</t>
  </si>
  <si>
    <t xml:space="preserve">Harvest weight (avg)</t>
  </si>
  <si>
    <t xml:space="preserve">kg/fish</t>
  </si>
  <si>
    <t xml:space="preserve">350-400g target</t>
  </si>
  <si>
    <t xml:space="preserve">Feed conversion ratio (FCR)</t>
  </si>
  <si>
    <t xml:space="preserve">kg feed/kg fish</t>
  </si>
  <si>
    <t xml:space="preserve">Intensive tank FCR</t>
  </si>
  <si>
    <t xml:space="preserve">On-farm feed substitution</t>
  </si>
  <si>
    <t xml:space="preserve">30% replaced by farm ingredients</t>
  </si>
  <si>
    <t xml:space="preserve">Commercial feed cost</t>
  </si>
  <si>
    <t xml:space="preserve">$/tonne</t>
  </si>
  <si>
    <t xml:space="preserve">West Africa avg delivered</t>
  </si>
  <si>
    <t xml:space="preserve">Fresh fish price</t>
  </si>
  <si>
    <t xml:space="preserve">$/kg</t>
  </si>
  <si>
    <t xml:space="preserve">Wholesale/market price</t>
  </si>
  <si>
    <t xml:space="preserve">Smoked/dried fish price</t>
  </si>
  <si>
    <t xml:space="preserve">Value-added processing</t>
  </si>
  <si>
    <t xml:space="preserve">% sold as processed</t>
  </si>
  <si>
    <t xml:space="preserve">20% smoked/dried</t>
  </si>
  <si>
    <t xml:space="preserve">Fingerling cost</t>
  </si>
  <si>
    <t xml:space="preserve">$/fingerling</t>
  </si>
  <si>
    <t xml:space="preserve">After own breeding established</t>
  </si>
  <si>
    <t xml:space="preserve">Tanks harvested per month</t>
  </si>
  <si>
    <t xml:space="preserve">tanks/month</t>
  </si>
  <si>
    <t xml:space="preserve">Staggered 6-month cycle</t>
  </si>
  <si>
    <t xml:space="preserve">CALCULATED TILAPIA METRICS</t>
  </si>
  <si>
    <t xml:space="preserve">Fish harvested per tank</t>
  </si>
  <si>
    <t xml:space="preserve">fish</t>
  </si>
  <si>
    <t xml:space="preserve">Stocked × survival rate</t>
  </si>
  <si>
    <t xml:space="preserve">Fish harvested per month</t>
  </si>
  <si>
    <t xml:space="preserve">Per tank × tanks/month</t>
  </si>
  <si>
    <t xml:space="preserve">Annual fish harvested</t>
  </si>
  <si>
    <t xml:space="preserve">Monthly × 12 (once pipeline full)</t>
  </si>
  <si>
    <t xml:space="preserve">Annual fish weight (tonnes)</t>
  </si>
  <si>
    <t xml:space="preserve">tonnes</t>
  </si>
  <si>
    <t xml:space="preserve">Fish × avg weight</t>
  </si>
  <si>
    <t xml:space="preserve">Annual feed required (tonnes)</t>
  </si>
  <si>
    <t xml:space="preserve">Fish weight × FCR</t>
  </si>
  <si>
    <t xml:space="preserve">Commercial feed needed (tonnes)</t>
  </si>
  <si>
    <t xml:space="preserve">After on-farm substitution</t>
  </si>
  <si>
    <t xml:space="preserve">Annual feed cost</t>
  </si>
  <si>
    <t xml:space="preserve">$</t>
  </si>
  <si>
    <t xml:space="preserve">Commercial feed × price</t>
  </si>
  <si>
    <t xml:space="preserve">Revenue: fresh fish</t>
  </si>
  <si>
    <t xml:space="preserve">80% sold fresh</t>
  </si>
  <si>
    <t xml:space="preserve">Revenue: processed fish</t>
  </si>
  <si>
    <t xml:space="preserve">Total fish revenue</t>
  </si>
  <si>
    <t xml:space="preserve">Combined fish sales</t>
  </si>
  <si>
    <t xml:space="preserve">Fingerling sales revenue</t>
  </si>
  <si>
    <t xml:space="preserve">Surplus fingerlings to other farms</t>
  </si>
  <si>
    <t xml:space="preserve">Gross fish revenue</t>
  </si>
  <si>
    <t xml:space="preserve">All fish income streams</t>
  </si>
  <si>
    <t xml:space="preserve">OTHER FARM REVENUE (ANNUAL)</t>
  </si>
  <si>
    <t xml:space="preserve">Potatoes (fresh + processed)</t>
  </si>
  <si>
    <t xml:space="preserve">Peak: Nov-Mar (dry season harvest)</t>
  </si>
  <si>
    <t xml:space="preserve">Onions (stored, off-season sales)</t>
  </si>
  <si>
    <t xml:space="preserve">Peak: Apr-Jul (off-season premium)</t>
  </si>
  <si>
    <t xml:space="preserve">Rice</t>
  </si>
  <si>
    <t xml:space="preserve">Peak: Oct-Dec (wet season harvest)</t>
  </si>
  <si>
    <t xml:space="preserve">Cowpeas / Bambara groundnut</t>
  </si>
  <si>
    <t xml:space="preserve">Peak: Oct-Nov</t>
  </si>
  <si>
    <t xml:space="preserve">Eggs (chicken + duck)</t>
  </si>
  <si>
    <t xml:space="preserve">Year-round, steady</t>
  </si>
  <si>
    <t xml:space="preserve">Poultry meat (chicken + guinea fowl)</t>
  </si>
  <si>
    <t xml:space="preserve">Year-round, slight holiday peaks</t>
  </si>
  <si>
    <t xml:space="preserve">Sheep (Tabaski lambs)</t>
  </si>
  <si>
    <t xml:space="preserve">Highly seasonal: Tabaski month</t>
  </si>
  <si>
    <t xml:space="preserve">Pork (if applicable)</t>
  </si>
  <si>
    <t xml:space="preserve">Year-round</t>
  </si>
  <si>
    <t xml:space="preserve">Fruit / cashews / mangoes</t>
  </si>
  <si>
    <t xml:space="preserve">Seasonal: Mar-Jul</t>
  </si>
  <si>
    <t xml:space="preserve">Moringa powder</t>
  </si>
  <si>
    <t xml:space="preserve">Year-round harvest, slight dry season peak</t>
  </si>
  <si>
    <t xml:space="preserve">Dried products (pineapple, tomato, fish)</t>
  </si>
  <si>
    <t xml:space="preserve">Year-round processing</t>
  </si>
  <si>
    <t xml:space="preserve">Peanuts</t>
  </si>
  <si>
    <t xml:space="preserve">Oct-Nov harvest</t>
  </si>
  <si>
    <t xml:space="preserve">Processing fees (neighboring farms)</t>
  </si>
  <si>
    <t xml:space="preserve">Year-round, peaks at harvests</t>
  </si>
  <si>
    <t xml:space="preserve">Total Other Farm Revenue</t>
  </si>
  <si>
    <t xml:space="preserve">ANNUAL OPERATING COSTS</t>
  </si>
  <si>
    <t xml:space="preserve">Labor (10-12 workers)</t>
  </si>
  <si>
    <t xml:space="preserve">Includes seasonal workers</t>
  </si>
  <si>
    <t xml:space="preserve">Fish feed (commercial portion)</t>
  </si>
  <si>
    <t xml:space="preserve">From tilapia calculations</t>
  </si>
  <si>
    <t xml:space="preserve">Seeds, seedlings, fingerlings</t>
  </si>
  <si>
    <t xml:space="preserve">All crop inputs</t>
  </si>
  <si>
    <t xml:space="preserve">Animal feed supplements</t>
  </si>
  <si>
    <t xml:space="preserve">Beyond on-farm production</t>
  </si>
  <si>
    <t xml:space="preserve">Veterinary / animal health</t>
  </si>
  <si>
    <t xml:space="preserve">Vaccines, treatments</t>
  </si>
  <si>
    <t xml:space="preserve">Equipment maintenance</t>
  </si>
  <si>
    <t xml:space="preserve">Pumps, solar, tools</t>
  </si>
  <si>
    <t xml:space="preserve">Fuel / transport</t>
  </si>
  <si>
    <t xml:space="preserve">Market deliveries</t>
  </si>
  <si>
    <t xml:space="preserve">Packaging materials</t>
  </si>
  <si>
    <t xml:space="preserve">Bags, boxes, labels</t>
  </si>
  <si>
    <t xml:space="preserve">Miscellaneous</t>
  </si>
  <si>
    <t xml:space="preserve">Contingency</t>
  </si>
  <si>
    <t xml:space="preserve">Total Operating Costs</t>
  </si>
  <si>
    <t xml:space="preserve">CAPITAL INVESTMENT</t>
  </si>
  <si>
    <t xml:space="preserve">Underground reservoir + processing shed</t>
  </si>
  <si>
    <t xml:space="preserve">Phase 1</t>
  </si>
  <si>
    <t xml:space="preserve">Solar array (40kW) + batteries</t>
  </si>
  <si>
    <t xml:space="preserve">Expanded for tank aeration</t>
  </si>
  <si>
    <t xml:space="preserve">15 ferrocement fish tanks</t>
  </si>
  <si>
    <t xml:space="preserve">Built on-site</t>
  </si>
  <si>
    <t xml:space="preserve">Aeration systems</t>
  </si>
  <si>
    <t xml:space="preserve">Blowers, airlines, diffusers</t>
  </si>
  <si>
    <t xml:space="preserve">Tank plumbing + settling tanks</t>
  </si>
  <si>
    <t xml:space="preserve">Water distribution</t>
  </si>
  <si>
    <t xml:space="preserve">Drip irrigation system</t>
  </si>
  <si>
    <t xml:space="preserve">1 ha + market gardens</t>
  </si>
  <si>
    <t xml:space="preserve">Catchment surface preparation</t>
  </si>
  <si>
    <t xml:space="preserve">Compaction, grading, channels</t>
  </si>
  <si>
    <t xml:space="preserve">Food forest establishment</t>
  </si>
  <si>
    <t xml:space="preserve">Trees, swales, planting</t>
  </si>
  <si>
    <t xml:space="preserve">Animal housing (all species)</t>
  </si>
  <si>
    <t xml:space="preserve">Coops, pens, shelters</t>
  </si>
  <si>
    <t xml:space="preserve">Aquaculture ponds (supplementary)</t>
  </si>
  <si>
    <t xml:space="preserve">2-3 earthen ponds</t>
  </si>
  <si>
    <t xml:space="preserve">Rice paddy construction</t>
  </si>
  <si>
    <t xml:space="preserve">Bunding, leveling</t>
  </si>
  <si>
    <t xml:space="preserve">Feed mill (small pelletizer)</t>
  </si>
  <si>
    <t xml:space="preserve">Year 2-3 addition</t>
  </si>
  <si>
    <t xml:space="preserve">Cold storage room</t>
  </si>
  <si>
    <t xml:space="preserve">Insulated room + solar cooling</t>
  </si>
  <si>
    <t xml:space="preserve">Processing equipment</t>
  </si>
  <si>
    <t xml:space="preserve">Washing, sorting, drying, milling</t>
  </si>
  <si>
    <t xml:space="preserve">Fencing and perimeter</t>
  </si>
  <si>
    <t xml:space="preserve">Living fence + wire</t>
  </si>
  <si>
    <t xml:space="preserve">Broodstock + initial animals</t>
  </si>
  <si>
    <t xml:space="preserve">Fingerlings, chicks, lambs, etc.</t>
  </si>
  <si>
    <t xml:space="preserve">Contingency (10%)</t>
  </si>
  <si>
    <t xml:space="preserve">Total Capital Investment</t>
  </si>
  <si>
    <t xml:space="preserve">MONTHLY CASH FLOW — YEAR 2 (Full Operations)</t>
  </si>
  <si>
    <t xml:space="preserve">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</si>
  <si>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</si>
  <si>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</si>
  <si>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</si>
  <si>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</si>
  <si>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</si>
  <si>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</si>
  <si>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</si>
  <si>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</si>
  <si>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</si>
  <si>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</si>
  <si>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</si>
  <si>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</si>
  <si>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</si>
  <si>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Tilapia (fresh + processed)</t>
  </si>
  <si>
    <t xml:space="preserve">Fingerling sales</t>
  </si>
  <si>
    <t xml:space="preserve">Potatoes</t>
  </si>
  <si>
    <t xml:space="preserve">Onions</t>
  </si>
  <si>
    <t xml:space="preserve">Cowpeas / Bambara</t>
  </si>
  <si>
    <t xml:space="preserve">Eggs</t>
  </si>
  <si>
    <t xml:space="preserve">Poultry meat</t>
  </si>
  <si>
    <t xml:space="preserve">Sheep (Tabaski)</t>
  </si>
  <si>
    <t xml:space="preserve">Pork</t>
  </si>
  <si>
    <t xml:space="preserve">Fruit / cashews</t>
  </si>
  <si>
    <t xml:space="preserve">Moringa</t>
  </si>
  <si>
    <t xml:space="preserve">Dried products</t>
  </si>
  <si>
    <t xml:space="preserve">Processing fees</t>
  </si>
  <si>
    <t xml:space="preserve">TOTAL REVENUE</t>
  </si>
  <si>
    <t xml:space="preserve">OPERATING COSTS</t>
  </si>
  <si>
    <t xml:space="preserve">Labor</t>
  </si>
  <si>
    <t xml:space="preserve">Fish feed</t>
  </si>
  <si>
    <t xml:space="preserve">Seeds &amp; inputs</t>
  </si>
  <si>
    <t xml:space="preserve">Veterinary</t>
  </si>
  <si>
    <t xml:space="preserve">Packaging</t>
  </si>
  <si>
    <t xml:space="preserve">TOTAL OPERATING COSTS</t>
  </si>
  <si>
    <t xml:space="preserve">NET MONTHLY CASH FLOW</t>
  </si>
  <si>
    <t xml:space="preserve">CUMULATIVE CASH FLOW</t>
  </si>
  <si>
    <t xml:space="preserve">KEY METRICS</t>
  </si>
  <si>
    <t xml:space="preserve">Total Annual Revenue</t>
  </si>
  <si>
    <t xml:space="preserve">Total Annual Costs</t>
  </si>
  <si>
    <t xml:space="preserve">Annual Net Profit</t>
  </si>
  <si>
    <t xml:space="preserve">Operating Margin</t>
  </si>
  <si>
    <t xml:space="preserve">Monthly Avg Revenue</t>
  </si>
  <si>
    <t xml:space="preserve">Monthly Avg Net Profit</t>
  </si>
  <si>
    <t xml:space="preserve">Fish as % of Revenue</t>
  </si>
  <si>
    <t xml:space="preserve">Payback Period (years)</t>
  </si>
  <si>
    <t xml:space="preserve">5-YEAR FINANCIAL PROJECTION</t>
  </si>
  <si>
    <t xml:space="preserve">GROWTH ASSUMPTIONS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</si>
  <si>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</si>
  <si>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</si>
  <si>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</si>
  <si>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</si>
  <si>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</si>
  <si>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 ramp-up factor</t>
  </si>
  <si>
    <t xml:space="preserve">Cost ramp-up factor</t>
  </si>
  <si>
    <t xml:space="preserve">Fish revenue (base)</t>
  </si>
  <si>
    <t xml:space="preserve">Other farm revenue (base)</t>
  </si>
  <si>
    <t xml:space="preserve">Total Revenue</t>
  </si>
  <si>
    <t xml:space="preserve">COSTS</t>
  </si>
  <si>
    <t xml:space="preserve">Operating costs (base)</t>
  </si>
  <si>
    <t xml:space="preserve">Capital expenditure</t>
  </si>
  <si>
    <t xml:space="preserve">Total Costs + CapEx</t>
  </si>
  <si>
    <t xml:space="preserve">NET PROFIT (before CapEx)</t>
  </si>
  <si>
    <t xml:space="preserve">NET CASH FLOW (after CapEx)</t>
  </si>
  <si>
    <t xml:space="preserve">Revenue per hectare</t>
  </si>
  <si>
    <t xml:space="preserve">TILAPIA TANK STOCKING &amp; HARVEST SCHEDULE</t>
  </si>
  <si>
    <t xml:space="preserve">Month</t>
  </si>
  <si>
    <t xml:space="preserve">Tank 1</t>
  </si>
  <si>
    <t xml:space="preserve">Tank 2</t>
  </si>
  <si>
    <t xml:space="preserve">Tank 3</t>
  </si>
  <si>
    <t xml:space="preserve">Tank 4</t>
  </si>
  <si>
    <t xml:space="preserve">Tank 5</t>
  </si>
  <si>
    <t xml:space="preserve">Tank 6</t>
  </si>
  <si>
    <t xml:space="preserve">Tank 7</t>
  </si>
  <si>
    <t xml:space="preserve">Tank 8</t>
  </si>
  <si>
    <t xml:space="preserve">Tank 9</t>
  </si>
  <si>
    <t xml:space="preserve">Tank 10</t>
  </si>
  <si>
    <t xml:space="preserve">Tank 11</t>
  </si>
  <si>
    <t xml:space="preserve">Tank 12</t>
  </si>
  <si>
    <t xml:space="preserve">Tank 13</t>
  </si>
  <si>
    <t xml:space="preserve">Tank 14</t>
  </si>
  <si>
    <t xml:space="preserve">Tank 15</t>
  </si>
  <si>
    <t xml:space="preserve">Month 1</t>
  </si>
  <si>
    <t xml:space="preserve">STOCK</t>
  </si>
  <si>
    <t xml:space="preserve">—</t>
  </si>
  <si>
    <t xml:space="preserve">Month 2</t>
  </si>
  <si>
    <t xml:space="preserve">Grow-1</t>
  </si>
  <si>
    <t xml:space="preserve">Month 3</t>
  </si>
  <si>
    <t xml:space="preserve">Grow-2</t>
  </si>
  <si>
    <t xml:space="preserve">Month 4</t>
  </si>
  <si>
    <t xml:space="preserve">Grow-3</t>
  </si>
  <si>
    <t xml:space="preserve">Month 5</t>
  </si>
  <si>
    <t xml:space="preserve">Grow-4</t>
  </si>
  <si>
    <t xml:space="preserve">Month 6</t>
  </si>
  <si>
    <t xml:space="preserve">HARVEST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</si>
  <si>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</si>
  <si>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</si>
  <si>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</si>
  <si>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</si>
  <si>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</si>
  <si>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</si>
  <si>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Month 13</t>
  </si>
  <si>
    <t xml:space="preserve">Month 14</t>
  </si>
  <si>
    <t xml:space="preserve">Month 15</t>
  </si>
  <si>
    <t xml:space="preserve">Month 16</t>
  </si>
  <si>
    <t xml:space="preserve">Month 17</t>
  </si>
  <si>
    <t xml:space="preserve">Month 18</t>
  </si>
  <si>
    <t xml:space="preserve">LEGEND:</t>
  </si>
  <si>
    <t xml:space="preserve">GROWING</t>
  </si>
  <si>
    <t xml:space="preserve">TANK SPECIFICATIONS</t>
  </si>
  <si>
    <t xml:space="preserve">Construction</t>
  </si>
  <si>
    <t xml:space="preserve">Ferrocement (wire mesh + cement mortar)</t>
  </si>
  <si>
    <t xml:space="preserve">Shape</t>
  </si>
  <si>
    <t xml:space="preserve">Circular (optimal water circulation)</t>
  </si>
  <si>
    <t xml:space="preserve">Diameter</t>
  </si>
  <si>
    <t xml:space="preserve">5 meters</t>
  </si>
  <si>
    <t xml:space="preserve">Depth</t>
  </si>
  <si>
    <t xml:space="preserve">1.8 meters (1.5m water depth)</t>
  </si>
  <si>
    <t xml:space="preserve">Volume</t>
  </si>
  <si>
    <t xml:space="preserve">Wall thickness</t>
  </si>
  <si>
    <t xml:space="preserve">50-75mm ferrocement</t>
  </si>
  <si>
    <t xml:space="preserve">Foundation</t>
  </si>
  <si>
    <t xml:space="preserve">100mm concrete pad, compacted earth base</t>
  </si>
  <si>
    <t xml:space="preserve">Inlet</t>
  </si>
  <si>
    <t xml:space="preserve">PVC pipe from reservoir/settling tank</t>
  </si>
  <si>
    <t xml:space="preserve">Outlet</t>
  </si>
  <si>
    <t xml:space="preserve">Central drain to settling/filtration</t>
  </si>
  <si>
    <t xml:space="preserve">Aeration</t>
  </si>
  <si>
    <t xml:space="preserve">1-2 air stones per tank, continuous</t>
  </si>
  <si>
    <t xml:space="preserve">Shading</t>
  </si>
  <si>
    <t xml:space="preserve">50% shade cloth canopy (reduces algae + heat stress)</t>
  </si>
  <si>
    <t xml:space="preserve">Estimated cost per tank</t>
  </si>
  <si>
    <t xml:space="preserve">$400-500 materials + labor</t>
  </si>
  <si>
    <t xml:space="preserve">BREEDING PROGRAM</t>
  </si>
  <si>
    <t xml:space="preserve">Dedicated breeding tanks</t>
  </si>
  <si>
    <t xml:space="preserve">2 tanks (1 broodstock, 1 nursery)</t>
  </si>
  <si>
    <t xml:space="preserve">Broodstock ratio</t>
  </si>
  <si>
    <t xml:space="preserve">1 male : 3 females</t>
  </si>
  <si>
    <t xml:space="preserve">Broodstock quantity</t>
  </si>
  <si>
    <t xml:space="preserve">50 females + 17 males</t>
  </si>
  <si>
    <t xml:space="preserve">Spawning frequency</t>
  </si>
  <si>
    <t xml:space="preserve">Every 4-6 weeks per female</t>
  </si>
  <si>
    <t xml:space="preserve">Eggs per spawn</t>
  </si>
  <si>
    <t xml:space="preserve">200-400 per female</t>
  </si>
  <si>
    <t xml:space="preserve">Fry survival to fingerling</t>
  </si>
  <si>
    <t xml:space="preserve">60-70%</t>
  </si>
  <si>
    <t xml:space="preserve">Fingerlings per month</t>
  </si>
  <si>
    <t xml:space="preserve">~5,000-7,000</t>
  </si>
  <si>
    <t xml:space="preserve">Farm requirement per month</t>
  </si>
  <si>
    <t xml:space="preserve">~5,000 fingerlings</t>
  </si>
  <si>
    <t xml:space="preserve">Surplus for sale</t>
  </si>
  <si>
    <t xml:space="preserve">~1,000-2,000/month</t>
  </si>
  <si>
    <t xml:space="preserve">Fingerling grow-out period</t>
  </si>
  <si>
    <t xml:space="preserve">4-6 weeks (fry to fingerling)</t>
  </si>
  <si>
    <t xml:space="preserve">Sex reversal (optional)</t>
  </si>
  <si>
    <t xml:space="preserve">Methyltestosterone treatment for all-male batches</t>
  </si>
  <si>
    <t xml:space="preserve">All-male advantage</t>
  </si>
  <si>
    <t xml:space="preserve">30-40% faster growth, no unwanted breeding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</si>
</sst>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"/>
    <numFmt numFmtId="167" formatCode="General"/>
    <numFmt numFmtId="168" formatCode="#,##0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D1F0"/>
        <bgColor rgb="FFD6E4F0"/>
      </patternFill>
    </fill>
    <fill>
      <patternFill patternType="solid">
        <fgColor rgb="FF2E75B6"/>
        <bgColor rgb="FF4472C4"/>
      </patternFill>
    </fill>
    <fill>
      <patternFill patternType="solid">
        <fgColor rgb="FFC6EFCE"/>
        <bgColor rgb="FFE2EFDA"/>
      </patternFill>
    </fill>
    <fill>
      <patternFill patternType="solid">
        <fgColor rgb="FFBDD7EE"/>
        <bgColor rgb="FFCCCCCC"/>
      </patternFill>
    </fill>
    <fill>
      <patternFill patternType="solid">
        <fgColor rgb="FFF8CBAD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CE4D6"/>
      <rgbColor rgb="FFE2D1F0"/>
      <rgbColor rgb="FFFF99CC"/>
      <rgbColor rgb="FFCC99FF"/>
      <rgbColor rgb="FFF8CBAD"/>
      <rgbColor rgb="FF4472C4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15</v>
      </c>
      <c r="C5" s="4" t="s">
        <v>7</v>
      </c>
      <c r="D5" s="6" t="s">
        <v>8</v>
      </c>
    </row>
    <row r="6" customFormat="false" ht="15" hidden="false" customHeight="false" outlineLevel="0" collapsed="false">
      <c r="A6" s="4" t="s">
        <v>9</v>
      </c>
      <c r="B6" s="5" t="n">
        <v>2000</v>
      </c>
      <c r="C6" s="4" t="s">
        <v>10</v>
      </c>
      <c r="D6" s="6" t="s">
        <v>11</v>
      </c>
    </row>
    <row r="7" customFormat="false" ht="15" hidden="false" customHeight="false" outlineLevel="0" collapsed="false">
      <c r="A7" s="4" t="s">
        <v>12</v>
      </c>
      <c r="B7" s="5" t="n">
        <v>35</v>
      </c>
      <c r="C7" s="4" t="s">
        <v>13</v>
      </c>
      <c r="D7" s="6" t="s">
        <v>14</v>
      </c>
    </row>
    <row r="8" customFormat="false" ht="15" hidden="false" customHeight="false" outlineLevel="0" collapsed="false">
      <c r="A8" s="4" t="s">
        <v>15</v>
      </c>
      <c r="B8" s="5" t="n">
        <v>6</v>
      </c>
      <c r="C8" s="4" t="s">
        <v>16</v>
      </c>
      <c r="D8" s="6" t="s">
        <v>17</v>
      </c>
    </row>
    <row r="9" customFormat="false" ht="15" hidden="false" customHeight="false" outlineLevel="0" collapsed="false">
      <c r="A9" s="4" t="s">
        <v>18</v>
      </c>
      <c r="B9" s="7" t="n">
        <v>0.85</v>
      </c>
      <c r="C9" s="4"/>
      <c r="D9" s="6" t="s">
        <v>19</v>
      </c>
    </row>
    <row r="10" customFormat="false" ht="15" hidden="false" customHeight="false" outlineLevel="0" collapsed="false">
      <c r="A10" s="4" t="s">
        <v>20</v>
      </c>
      <c r="B10" s="8" t="n">
        <v>0.375</v>
      </c>
      <c r="C10" s="4" t="s">
        <v>21</v>
      </c>
      <c r="D10" s="6" t="s">
        <v>22</v>
      </c>
    </row>
    <row r="11" customFormat="false" ht="15" hidden="false" customHeight="false" outlineLevel="0" collapsed="false">
      <c r="A11" s="4" t="s">
        <v>23</v>
      </c>
      <c r="B11" s="5" t="n">
        <v>1.6</v>
      </c>
      <c r="C11" s="4" t="s">
        <v>24</v>
      </c>
      <c r="D11" s="6" t="s">
        <v>25</v>
      </c>
    </row>
    <row r="12" customFormat="false" ht="15" hidden="false" customHeight="false" outlineLevel="0" collapsed="false">
      <c r="A12" s="4" t="s">
        <v>26</v>
      </c>
      <c r="B12" s="7" t="n">
        <v>0.3</v>
      </c>
      <c r="C12" s="4"/>
      <c r="D12" s="6" t="s">
        <v>27</v>
      </c>
    </row>
    <row r="13" customFormat="false" ht="15" hidden="false" customHeight="false" outlineLevel="0" collapsed="false">
      <c r="A13" s="4" t="s">
        <v>28</v>
      </c>
      <c r="B13" s="5" t="n">
        <v>700</v>
      </c>
      <c r="C13" s="4" t="s">
        <v>29</v>
      </c>
      <c r="D13" s="6" t="s">
        <v>30</v>
      </c>
    </row>
    <row r="14" customFormat="false" ht="15" hidden="false" customHeight="false" outlineLevel="0" collapsed="false">
      <c r="A14" s="4" t="s">
        <v>31</v>
      </c>
      <c r="B14" s="5" t="n">
        <v>3</v>
      </c>
      <c r="C14" s="4" t="s">
        <v>32</v>
      </c>
      <c r="D14" s="6" t="s">
        <v>33</v>
      </c>
    </row>
    <row r="15" customFormat="false" ht="15" hidden="false" customHeight="false" outlineLevel="0" collapsed="false">
      <c r="A15" s="4" t="s">
        <v>34</v>
      </c>
      <c r="B15" s="5" t="n">
        <v>6</v>
      </c>
      <c r="C15" s="4" t="s">
        <v>32</v>
      </c>
      <c r="D15" s="6" t="s">
        <v>35</v>
      </c>
    </row>
    <row r="16" customFormat="false" ht="15" hidden="false" customHeight="false" outlineLevel="0" collapsed="false">
      <c r="A16" s="4" t="s">
        <v>36</v>
      </c>
      <c r="B16" s="7" t="n">
        <v>0.2</v>
      </c>
      <c r="C16" s="4"/>
      <c r="D16" s="6" t="s">
        <v>37</v>
      </c>
    </row>
    <row r="17" customFormat="false" ht="15" hidden="false" customHeight="false" outlineLevel="0" collapsed="false">
      <c r="A17" s="4" t="s">
        <v>38</v>
      </c>
      <c r="B17" s="8" t="n">
        <v>0.05</v>
      </c>
      <c r="C17" s="4" t="s">
        <v>39</v>
      </c>
      <c r="D17" s="6" t="s">
        <v>40</v>
      </c>
    </row>
    <row r="18" customFormat="false" ht="15" hidden="false" customHeight="false" outlineLevel="0" collapsed="false">
      <c r="A18" s="4" t="s">
        <v>41</v>
      </c>
      <c r="B18" s="5" t="n">
        <v>2.5</v>
      </c>
      <c r="C18" s="4" t="s">
        <v>42</v>
      </c>
      <c r="D18" s="6" t="s">
        <v>43</v>
      </c>
    </row>
    <row r="20" customFormat="false" ht="15" hidden="false" customHeight="false" outlineLevel="0" collapsed="false">
      <c r="A20" s="9" t="s">
        <v>44</v>
      </c>
      <c r="B20" s="10"/>
      <c r="C20" s="10"/>
      <c r="D20" s="10"/>
    </row>
    <row r="21" customFormat="false" ht="15" hidden="false" customHeight="false" outlineLevel="0" collapsed="false">
      <c r="A21" s="4" t="s">
        <v>45</v>
      </c>
      <c r="B21" s="11" t="n">
        <f aca="false">B5*B9</f>
        <v>12.75</v>
      </c>
      <c r="C21" s="4" t="s">
        <v>46</v>
      </c>
      <c r="D21" s="6" t="s">
        <v>47</v>
      </c>
    </row>
    <row r="22" customFormat="false" ht="15" hidden="false" customHeight="false" outlineLevel="0" collapsed="false">
      <c r="A22" s="4" t="s">
        <v>48</v>
      </c>
      <c r="B22" s="11" t="n">
        <f aca="false">B21*B18</f>
        <v>31.875</v>
      </c>
      <c r="C22" s="4" t="s">
        <v>46</v>
      </c>
      <c r="D22" s="6" t="s">
        <v>49</v>
      </c>
    </row>
    <row r="23" customFormat="false" ht="15" hidden="false" customHeight="false" outlineLevel="0" collapsed="false">
      <c r="A23" s="4" t="s">
        <v>50</v>
      </c>
      <c r="B23" s="11" t="n">
        <f aca="false">B22*12</f>
        <v>382.5</v>
      </c>
      <c r="C23" s="4" t="s">
        <v>46</v>
      </c>
      <c r="D23" s="6" t="s">
        <v>51</v>
      </c>
    </row>
    <row r="24" customFormat="false" ht="15" hidden="false" customHeight="false" outlineLevel="0" collapsed="false">
      <c r="A24" s="4" t="s">
        <v>52</v>
      </c>
      <c r="B24" s="11" t="n">
        <f aca="false">B23*B10/1000</f>
        <v>0.1434375</v>
      </c>
      <c r="C24" s="4" t="s">
        <v>53</v>
      </c>
      <c r="D24" s="6" t="s">
        <v>54</v>
      </c>
    </row>
    <row r="25" customFormat="false" ht="15" hidden="false" customHeight="false" outlineLevel="0" collapsed="false">
      <c r="A25" s="4" t="s">
        <v>55</v>
      </c>
      <c r="B25" s="11" t="n">
        <f aca="false">B24*B11</f>
        <v>0.2295</v>
      </c>
      <c r="C25" s="4" t="s">
        <v>53</v>
      </c>
      <c r="D25" s="6" t="s">
        <v>56</v>
      </c>
    </row>
    <row r="26" customFormat="false" ht="15" hidden="false" customHeight="false" outlineLevel="0" collapsed="false">
      <c r="A26" s="4" t="s">
        <v>57</v>
      </c>
      <c r="B26" s="11" t="n">
        <f aca="false">B25*(1-B12)</f>
        <v>0.16065</v>
      </c>
      <c r="C26" s="4" t="s">
        <v>53</v>
      </c>
      <c r="D26" s="6" t="s">
        <v>58</v>
      </c>
    </row>
    <row r="27" customFormat="false" ht="15" hidden="false" customHeight="false" outlineLevel="0" collapsed="false">
      <c r="A27" s="4" t="s">
        <v>59</v>
      </c>
      <c r="B27" s="12" t="n">
        <f aca="false">B26*B13</f>
        <v>112.455</v>
      </c>
      <c r="C27" s="4" t="s">
        <v>60</v>
      </c>
      <c r="D27" s="6" t="s">
        <v>61</v>
      </c>
    </row>
    <row r="28" customFormat="false" ht="15" hidden="false" customHeight="false" outlineLevel="0" collapsed="false">
      <c r="A28" s="4" t="s">
        <v>62</v>
      </c>
      <c r="B28" s="12" t="n">
        <f aca="false">B24*1000*(1-B16)*B14</f>
        <v>344.25</v>
      </c>
      <c r="C28" s="4" t="s">
        <v>60</v>
      </c>
      <c r="D28" s="6" t="s">
        <v>63</v>
      </c>
    </row>
    <row r="29" customFormat="false" ht="15" hidden="false" customHeight="false" outlineLevel="0" collapsed="false">
      <c r="A29" s="4" t="s">
        <v>64</v>
      </c>
      <c r="B29" s="12" t="n">
        <f aca="false">B24*1000*B16*B15</f>
        <v>172.125</v>
      </c>
      <c r="C29" s="4" t="s">
        <v>60</v>
      </c>
      <c r="D29" s="6" t="s">
        <v>37</v>
      </c>
    </row>
    <row r="30" customFormat="false" ht="15" hidden="false" customHeight="false" outlineLevel="0" collapsed="false">
      <c r="A30" s="4" t="s">
        <v>65</v>
      </c>
      <c r="B30" s="12" t="n">
        <f aca="false">B28+B29</f>
        <v>516.375</v>
      </c>
      <c r="C30" s="4" t="s">
        <v>60</v>
      </c>
      <c r="D30" s="6" t="s">
        <v>66</v>
      </c>
    </row>
    <row r="31" customFormat="false" ht="15" hidden="false" customHeight="false" outlineLevel="0" collapsed="false">
      <c r="A31" s="4" t="s">
        <v>67</v>
      </c>
      <c r="B31" s="12" t="n">
        <v>3000</v>
      </c>
      <c r="C31" s="4" t="s">
        <v>60</v>
      </c>
      <c r="D31" s="6" t="s">
        <v>68</v>
      </c>
    </row>
    <row r="32" customFormat="false" ht="15" hidden="false" customHeight="false" outlineLevel="0" collapsed="false">
      <c r="A32" s="4" t="s">
        <v>69</v>
      </c>
      <c r="B32" s="12" t="n">
        <f aca="false">B30+B31</f>
        <v>3516.375</v>
      </c>
      <c r="C32" s="4" t="s">
        <v>60</v>
      </c>
      <c r="D32" s="6" t="s">
        <v>70</v>
      </c>
    </row>
    <row r="34" customFormat="false" ht="15" hidden="false" customHeight="false" outlineLevel="0" collapsed="false">
      <c r="A34" s="13" t="s">
        <v>71</v>
      </c>
      <c r="B34" s="14"/>
      <c r="C34" s="14"/>
      <c r="D34" s="14"/>
    </row>
    <row r="35" customFormat="false" ht="15" hidden="false" customHeight="false" outlineLevel="0" collapsed="false">
      <c r="A35" s="4" t="s">
        <v>72</v>
      </c>
      <c r="B35" s="15" t="n">
        <v>14000</v>
      </c>
      <c r="D35" s="6" t="s">
        <v>73</v>
      </c>
    </row>
    <row r="36" customFormat="false" ht="15" hidden="false" customHeight="false" outlineLevel="0" collapsed="false">
      <c r="A36" s="4" t="s">
        <v>74</v>
      </c>
      <c r="B36" s="15" t="n">
        <v>10000</v>
      </c>
      <c r="D36" s="6" t="s">
        <v>75</v>
      </c>
    </row>
    <row r="37" customFormat="false" ht="15" hidden="false" customHeight="false" outlineLevel="0" collapsed="false">
      <c r="A37" s="4" t="s">
        <v>76</v>
      </c>
      <c r="B37" s="15" t="n">
        <v>3500</v>
      </c>
      <c r="D37" s="6" t="s">
        <v>77</v>
      </c>
    </row>
    <row r="38" customFormat="false" ht="15" hidden="false" customHeight="false" outlineLevel="0" collapsed="false">
      <c r="A38" s="4" t="s">
        <v>78</v>
      </c>
      <c r="B38" s="15" t="n">
        <v>4500</v>
      </c>
      <c r="D38" s="6" t="s">
        <v>79</v>
      </c>
    </row>
    <row r="39" customFormat="false" ht="15" hidden="false" customHeight="false" outlineLevel="0" collapsed="false">
      <c r="A39" s="4" t="s">
        <v>80</v>
      </c>
      <c r="B39" s="15" t="n">
        <v>3000</v>
      </c>
      <c r="D39" s="6" t="s">
        <v>81</v>
      </c>
    </row>
    <row r="40" customFormat="false" ht="15" hidden="false" customHeight="false" outlineLevel="0" collapsed="false">
      <c r="A40" s="4" t="s">
        <v>82</v>
      </c>
      <c r="B40" s="15" t="n">
        <v>4000</v>
      </c>
      <c r="D40" s="6" t="s">
        <v>83</v>
      </c>
    </row>
    <row r="41" customFormat="false" ht="15" hidden="false" customHeight="false" outlineLevel="0" collapsed="false">
      <c r="A41" s="4" t="s">
        <v>84</v>
      </c>
      <c r="B41" s="15" t="n">
        <v>7500</v>
      </c>
      <c r="D41" s="6" t="s">
        <v>85</v>
      </c>
    </row>
    <row r="42" customFormat="false" ht="15" hidden="false" customHeight="false" outlineLevel="0" collapsed="false">
      <c r="A42" s="4" t="s">
        <v>86</v>
      </c>
      <c r="B42" s="15" t="n">
        <v>3000</v>
      </c>
      <c r="D42" s="6" t="s">
        <v>87</v>
      </c>
    </row>
    <row r="43" customFormat="false" ht="15" hidden="false" customHeight="false" outlineLevel="0" collapsed="false">
      <c r="A43" s="4" t="s">
        <v>88</v>
      </c>
      <c r="B43" s="15" t="n">
        <v>5500</v>
      </c>
      <c r="D43" s="6" t="s">
        <v>89</v>
      </c>
    </row>
    <row r="44" customFormat="false" ht="15" hidden="false" customHeight="false" outlineLevel="0" collapsed="false">
      <c r="A44" s="4" t="s">
        <v>90</v>
      </c>
      <c r="B44" s="15" t="n">
        <v>3500</v>
      </c>
      <c r="D44" s="6" t="s">
        <v>91</v>
      </c>
    </row>
    <row r="45" customFormat="false" ht="15" hidden="false" customHeight="false" outlineLevel="0" collapsed="false">
      <c r="A45" s="4" t="s">
        <v>92</v>
      </c>
      <c r="B45" s="15" t="n">
        <v>4500</v>
      </c>
      <c r="D45" s="6" t="s">
        <v>93</v>
      </c>
    </row>
    <row r="46" customFormat="false" ht="15" hidden="false" customHeight="false" outlineLevel="0" collapsed="false">
      <c r="A46" s="4" t="s">
        <v>94</v>
      </c>
      <c r="B46" s="15" t="n">
        <v>2000</v>
      </c>
      <c r="D46" s="6" t="s">
        <v>95</v>
      </c>
    </row>
    <row r="47" customFormat="false" ht="15" hidden="false" customHeight="false" outlineLevel="0" collapsed="false">
      <c r="A47" s="4" t="s">
        <v>96</v>
      </c>
      <c r="B47" s="15" t="n">
        <v>4500</v>
      </c>
      <c r="D47" s="6" t="s">
        <v>97</v>
      </c>
    </row>
    <row r="48" customFormat="false" ht="15" hidden="false" customHeight="false" outlineLevel="0" collapsed="false">
      <c r="A48" s="16" t="s">
        <v>98</v>
      </c>
      <c r="B48" s="17" t="n">
        <f aca="false">SUM(B35:B47)</f>
        <v>69500</v>
      </c>
    </row>
    <row r="50" customFormat="false" ht="15" hidden="false" customHeight="false" outlineLevel="0" collapsed="false">
      <c r="A50" s="18" t="s">
        <v>99</v>
      </c>
      <c r="B50" s="19"/>
      <c r="C50" s="19"/>
      <c r="D50" s="19"/>
    </row>
    <row r="51" customFormat="false" ht="15" hidden="false" customHeight="false" outlineLevel="0" collapsed="false">
      <c r="A51" s="4" t="s">
        <v>100</v>
      </c>
      <c r="B51" s="15" t="n">
        <v>18000</v>
      </c>
      <c r="D51" s="6" t="s">
        <v>101</v>
      </c>
    </row>
    <row r="52" customFormat="false" ht="15" hidden="false" customHeight="false" outlineLevel="0" collapsed="false">
      <c r="A52" s="4" t="s">
        <v>102</v>
      </c>
      <c r="B52" s="12" t="n">
        <f aca="false">B27</f>
        <v>112.455</v>
      </c>
      <c r="D52" s="6" t="s">
        <v>103</v>
      </c>
    </row>
    <row r="53" customFormat="false" ht="15" hidden="false" customHeight="false" outlineLevel="0" collapsed="false">
      <c r="A53" s="4" t="s">
        <v>104</v>
      </c>
      <c r="B53" s="15" t="n">
        <v>6500</v>
      </c>
      <c r="D53" s="6" t="s">
        <v>105</v>
      </c>
    </row>
    <row r="54" customFormat="false" ht="15" hidden="false" customHeight="false" outlineLevel="0" collapsed="false">
      <c r="A54" s="4" t="s">
        <v>106</v>
      </c>
      <c r="B54" s="15" t="n">
        <v>3000</v>
      </c>
      <c r="D54" s="6" t="s">
        <v>107</v>
      </c>
    </row>
    <row r="55" customFormat="false" ht="15" hidden="false" customHeight="false" outlineLevel="0" collapsed="false">
      <c r="A55" s="4" t="s">
        <v>108</v>
      </c>
      <c r="B55" s="15" t="n">
        <v>1500</v>
      </c>
      <c r="D55" s="6" t="s">
        <v>109</v>
      </c>
    </row>
    <row r="56" customFormat="false" ht="15" hidden="false" customHeight="false" outlineLevel="0" collapsed="false">
      <c r="A56" s="4" t="s">
        <v>110</v>
      </c>
      <c r="B56" s="15" t="n">
        <v>3000</v>
      </c>
      <c r="D56" s="6" t="s">
        <v>111</v>
      </c>
    </row>
    <row r="57" customFormat="false" ht="15" hidden="false" customHeight="false" outlineLevel="0" collapsed="false">
      <c r="A57" s="4" t="s">
        <v>112</v>
      </c>
      <c r="B57" s="15" t="n">
        <v>2500</v>
      </c>
      <c r="D57" s="6" t="s">
        <v>113</v>
      </c>
    </row>
    <row r="58" customFormat="false" ht="15" hidden="false" customHeight="false" outlineLevel="0" collapsed="false">
      <c r="A58" s="4" t="s">
        <v>114</v>
      </c>
      <c r="B58" s="15" t="n">
        <v>2000</v>
      </c>
      <c r="D58" s="6" t="s">
        <v>115</v>
      </c>
    </row>
    <row r="59" customFormat="false" ht="15" hidden="false" customHeight="false" outlineLevel="0" collapsed="false">
      <c r="A59" s="4" t="s">
        <v>116</v>
      </c>
      <c r="B59" s="15" t="n">
        <v>2000</v>
      </c>
      <c r="D59" s="6" t="s">
        <v>117</v>
      </c>
    </row>
    <row r="60" customFormat="false" ht="15" hidden="false" customHeight="false" outlineLevel="0" collapsed="false">
      <c r="A60" s="16" t="s">
        <v>118</v>
      </c>
      <c r="B60" s="17" t="n">
        <f aca="false">SUM(B51:B59)</f>
        <v>38612.455</v>
      </c>
    </row>
    <row r="62" customFormat="false" ht="15" hidden="false" customHeight="false" outlineLevel="0" collapsed="false">
      <c r="A62" s="20" t="s">
        <v>119</v>
      </c>
      <c r="B62" s="21"/>
      <c r="C62" s="21"/>
      <c r="D62" s="21"/>
    </row>
    <row r="63" customFormat="false" ht="15" hidden="false" customHeight="false" outlineLevel="0" collapsed="false">
      <c r="A63" s="4" t="s">
        <v>120</v>
      </c>
      <c r="B63" s="15" t="n">
        <v>90000</v>
      </c>
      <c r="D63" s="6" t="s">
        <v>121</v>
      </c>
    </row>
    <row r="64" customFormat="false" ht="15" hidden="false" customHeight="false" outlineLevel="0" collapsed="false">
      <c r="A64" s="4" t="s">
        <v>122</v>
      </c>
      <c r="B64" s="15" t="n">
        <v>35000</v>
      </c>
      <c r="D64" s="6" t="s">
        <v>123</v>
      </c>
    </row>
    <row r="65" customFormat="false" ht="15" hidden="false" customHeight="false" outlineLevel="0" collapsed="false">
      <c r="A65" s="4" t="s">
        <v>124</v>
      </c>
      <c r="B65" s="15" t="n">
        <v>7000</v>
      </c>
      <c r="D65" s="6" t="s">
        <v>125</v>
      </c>
    </row>
    <row r="66" customFormat="false" ht="15" hidden="false" customHeight="false" outlineLevel="0" collapsed="false">
      <c r="A66" s="4" t="s">
        <v>126</v>
      </c>
      <c r="B66" s="15" t="n">
        <v>4000</v>
      </c>
      <c r="D66" s="6" t="s">
        <v>127</v>
      </c>
    </row>
    <row r="67" customFormat="false" ht="15" hidden="false" customHeight="false" outlineLevel="0" collapsed="false">
      <c r="A67" s="4" t="s">
        <v>128</v>
      </c>
      <c r="B67" s="15" t="n">
        <v>4000</v>
      </c>
      <c r="D67" s="6" t="s">
        <v>129</v>
      </c>
    </row>
    <row r="68" customFormat="false" ht="15" hidden="false" customHeight="false" outlineLevel="0" collapsed="false">
      <c r="A68" s="4" t="s">
        <v>130</v>
      </c>
      <c r="B68" s="15" t="n">
        <v>3000</v>
      </c>
      <c r="D68" s="6" t="s">
        <v>131</v>
      </c>
    </row>
    <row r="69" customFormat="false" ht="15" hidden="false" customHeight="false" outlineLevel="0" collapsed="false">
      <c r="A69" s="4" t="s">
        <v>132</v>
      </c>
      <c r="B69" s="15" t="n">
        <v>4000</v>
      </c>
      <c r="D69" s="6" t="s">
        <v>133</v>
      </c>
    </row>
    <row r="70" customFormat="false" ht="15" hidden="false" customHeight="false" outlineLevel="0" collapsed="false">
      <c r="A70" s="4" t="s">
        <v>134</v>
      </c>
      <c r="B70" s="15" t="n">
        <v>5000</v>
      </c>
      <c r="D70" s="6" t="s">
        <v>135</v>
      </c>
    </row>
    <row r="71" customFormat="false" ht="15" hidden="false" customHeight="false" outlineLevel="0" collapsed="false">
      <c r="A71" s="4" t="s">
        <v>136</v>
      </c>
      <c r="B71" s="15" t="n">
        <v>6000</v>
      </c>
      <c r="D71" s="6" t="s">
        <v>137</v>
      </c>
    </row>
    <row r="72" customFormat="false" ht="15" hidden="false" customHeight="false" outlineLevel="0" collapsed="false">
      <c r="A72" s="4" t="s">
        <v>138</v>
      </c>
      <c r="B72" s="15" t="n">
        <v>5000</v>
      </c>
      <c r="D72" s="6" t="s">
        <v>139</v>
      </c>
    </row>
    <row r="73" customFormat="false" ht="15" hidden="false" customHeight="false" outlineLevel="0" collapsed="false">
      <c r="A73" s="4" t="s">
        <v>140</v>
      </c>
      <c r="B73" s="15" t="n">
        <v>3000</v>
      </c>
      <c r="D73" s="6" t="s">
        <v>141</v>
      </c>
    </row>
    <row r="74" customFormat="false" ht="15" hidden="false" customHeight="false" outlineLevel="0" collapsed="false">
      <c r="A74" s="4" t="s">
        <v>142</v>
      </c>
      <c r="B74" s="15" t="n">
        <v>4000</v>
      </c>
      <c r="D74" s="6" t="s">
        <v>143</v>
      </c>
    </row>
    <row r="75" customFormat="false" ht="15" hidden="false" customHeight="false" outlineLevel="0" collapsed="false">
      <c r="A75" s="4" t="s">
        <v>144</v>
      </c>
      <c r="B75" s="15" t="n">
        <v>5000</v>
      </c>
      <c r="D75" s="6" t="s">
        <v>145</v>
      </c>
    </row>
    <row r="76" customFormat="false" ht="15" hidden="false" customHeight="false" outlineLevel="0" collapsed="false">
      <c r="A76" s="4" t="s">
        <v>146</v>
      </c>
      <c r="B76" s="15" t="n">
        <v>8000</v>
      </c>
      <c r="D76" s="6" t="s">
        <v>147</v>
      </c>
    </row>
    <row r="77" customFormat="false" ht="15" hidden="false" customHeight="false" outlineLevel="0" collapsed="false">
      <c r="A77" s="4" t="s">
        <v>148</v>
      </c>
      <c r="B77" s="15" t="n">
        <v>5000</v>
      </c>
      <c r="D77" s="6" t="s">
        <v>149</v>
      </c>
    </row>
    <row r="78" customFormat="false" ht="15" hidden="false" customHeight="false" outlineLevel="0" collapsed="false">
      <c r="A78" s="4" t="s">
        <v>150</v>
      </c>
      <c r="B78" s="15" t="n">
        <v>4000</v>
      </c>
      <c r="D78" s="6" t="s">
        <v>151</v>
      </c>
    </row>
    <row r="79" customFormat="false" ht="15" hidden="false" customHeight="false" outlineLevel="0" collapsed="false">
      <c r="A79" s="4" t="s">
        <v>152</v>
      </c>
      <c r="B79" s="12" t="n">
        <f aca="false">SUM(B63:B78)*0.1</f>
        <v>19200</v>
      </c>
      <c r="D79" s="6"/>
    </row>
    <row r="80" customFormat="false" ht="15" hidden="false" customHeight="false" outlineLevel="0" collapsed="false">
      <c r="A80" s="16" t="s">
        <v>153</v>
      </c>
      <c r="B80" s="17" t="n">
        <f aca="false">SUM(B63:B79)</f>
        <v>211200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154</v>
      </c>
    </row>
    <row r="3" customFormat="false" ht="15" hidden="false" customHeight="false" outlineLevel="0" collapsed="false">
      <c r="A3" s="22" t="s">
        <v>155</v>
      </c>
      <c r="B3" s="23" t="s">
        <v>156</v>
      </c>
      <c r="C3" s="23" t="s">
        <v>157</v>
      </c>
      <c r="D3" s="23" t="s">
        <v>158</v>
      </c>
      <c r="E3" s="23" t="s">
        <v>159</v>
      </c>
      <c r="F3" s="23" t="s">
        <v>160</v>
      </c>
      <c r="G3" s="23" t="s">
        <v>161</v>
      </c>
      <c r="H3" s="23" t="s">
        <v>162</v>
      </c>
      <c r="I3" s="23" t="s">
        <v>163</v>
      </c>
      <c r="J3" s="23" t="s">
        <v>164</v>
      </c>
      <c r="K3" s="23" t="s">
        <v>165</v>
      </c>
      <c r="L3" s="23" t="s">
        <v>166</v>
      </c>
      <c r="M3" s="23" t="s">
        <v>167</v>
      </c>
      <c r="N3" s="23" t="s">
        <v>168</v>
      </c>
    </row>
    <row r="4" customFormat="false" ht="15" hidden="false" customHeight="false" outlineLevel="0" collapsed="false">
      <c r="A4" s="4" t="s">
        <v>169</v>
      </c>
      <c r="B4" s="12" t="n">
        <f aca="false">Assumptions!B30*0.083</f>
        <v>42.859125</v>
      </c>
      <c r="C4" s="12" t="n">
        <f aca="false">Assumptions!B30*0.083</f>
        <v>42.859125</v>
      </c>
      <c r="D4" s="12" t="n">
        <f aca="false">Assumptions!B30*0.083</f>
        <v>42.859125</v>
      </c>
      <c r="E4" s="12" t="n">
        <f aca="false">Assumptions!B30*0.083</f>
        <v>42.859125</v>
      </c>
      <c r="F4" s="12" t="n">
        <f aca="false">Assumptions!B30*0.083</f>
        <v>42.859125</v>
      </c>
      <c r="G4" s="12" t="n">
        <f aca="false">Assumptions!B30*0.083</f>
        <v>42.859125</v>
      </c>
      <c r="H4" s="12" t="n">
        <f aca="false">Assumptions!B30*0.083</f>
        <v>42.859125</v>
      </c>
      <c r="I4" s="12" t="n">
        <f aca="false">Assumptions!B30*0.083</f>
        <v>42.859125</v>
      </c>
      <c r="J4" s="12" t="n">
        <f aca="false">Assumptions!B30*0.083</f>
        <v>42.859125</v>
      </c>
      <c r="K4" s="12" t="n">
        <f aca="false">Assumptions!B30*0.083</f>
        <v>42.859125</v>
      </c>
      <c r="L4" s="12" t="n">
        <f aca="false">Assumptions!B30*0.083</f>
        <v>42.859125</v>
      </c>
      <c r="M4" s="12" t="n">
        <f aca="false">Assumptions!B30*0.087</f>
        <v>44.924625</v>
      </c>
      <c r="N4" s="17" t="n">
        <f aca="false">B4+C4+D4+E4+F4+G4+H4+I4+J4+K4+L4+M4</f>
        <v>516.375</v>
      </c>
    </row>
    <row r="5" customFormat="false" ht="15" hidden="false" customHeight="false" outlineLevel="0" collapsed="false">
      <c r="A5" s="4" t="s">
        <v>170</v>
      </c>
      <c r="B5" s="12" t="n">
        <f aca="false">Assumptions!B31*0.05</f>
        <v>150</v>
      </c>
      <c r="C5" s="12" t="n">
        <f aca="false">Assumptions!B31*0.05</f>
        <v>150</v>
      </c>
      <c r="D5" s="12" t="n">
        <f aca="false">Assumptions!B31*0.08</f>
        <v>240</v>
      </c>
      <c r="E5" s="12" t="n">
        <f aca="false">Assumptions!B31*0.1</f>
        <v>300</v>
      </c>
      <c r="F5" s="12" t="n">
        <f aca="false">Assumptions!B31*0.1</f>
        <v>300</v>
      </c>
      <c r="G5" s="12" t="n">
        <f aca="false">Assumptions!B31*0.12</f>
        <v>360</v>
      </c>
      <c r="H5" s="12" t="n">
        <f aca="false">Assumptions!B31*0.12</f>
        <v>360</v>
      </c>
      <c r="I5" s="12" t="n">
        <f aca="false">Assumptions!B31*0.1</f>
        <v>300</v>
      </c>
      <c r="J5" s="12" t="n">
        <f aca="false">Assumptions!B31*0.1</f>
        <v>300</v>
      </c>
      <c r="K5" s="12" t="n">
        <f aca="false">Assumptions!B31*0.08</f>
        <v>240</v>
      </c>
      <c r="L5" s="12" t="n">
        <f aca="false">Assumptions!B31*0.05</f>
        <v>150</v>
      </c>
      <c r="M5" s="12" t="n">
        <f aca="false">Assumptions!B31*0.05</f>
        <v>150</v>
      </c>
      <c r="N5" s="17" t="n">
        <f aca="false">B5+C5+D5+E5+F5+G5+H5+I5+J5+K5+L5+M5</f>
        <v>3000</v>
      </c>
    </row>
    <row r="6" customFormat="false" ht="15" hidden="false" customHeight="false" outlineLevel="0" collapsed="false">
      <c r="A6" s="4" t="s">
        <v>171</v>
      </c>
      <c r="B6" s="12" t="n">
        <f aca="false">Assumptions!B35*0.15</f>
        <v>2100</v>
      </c>
      <c r="C6" s="12" t="n">
        <f aca="false">Assumptions!B35*0.15</f>
        <v>2100</v>
      </c>
      <c r="D6" s="12" t="n">
        <f aca="false">Assumptions!B35*0.12</f>
        <v>1680</v>
      </c>
      <c r="E6" s="12" t="n">
        <f aca="false">Assumptions!B35*0.05</f>
        <v>700</v>
      </c>
      <c r="F6" s="12" t="n">
        <f aca="false">Assumptions!B35*0.03</f>
        <v>420</v>
      </c>
      <c r="G6" s="12" t="n">
        <f aca="false">Assumptions!B35*0</f>
        <v>0</v>
      </c>
      <c r="H6" s="12" t="n">
        <f aca="false">Assumptions!B35*0</f>
        <v>0</v>
      </c>
      <c r="I6" s="12" t="n">
        <f aca="false">Assumptions!B35*0</f>
        <v>0</v>
      </c>
      <c r="J6" s="12" t="n">
        <f aca="false">Assumptions!B35*0</f>
        <v>0</v>
      </c>
      <c r="K6" s="12" t="n">
        <f aca="false">Assumptions!B35*0.05</f>
        <v>700</v>
      </c>
      <c r="L6" s="12" t="n">
        <f aca="false">Assumptions!B35*0.2</f>
        <v>2800</v>
      </c>
      <c r="M6" s="12" t="n">
        <f aca="false">Assumptions!B35*0.25</f>
        <v>3500</v>
      </c>
      <c r="N6" s="17" t="n">
        <f aca="false">B6+C6+D6+E6+F6+G6+H6+I6+J6+K6+L6+M6</f>
        <v>14000</v>
      </c>
    </row>
    <row r="7" customFormat="false" ht="15" hidden="false" customHeight="false" outlineLevel="0" collapsed="false">
      <c r="A7" s="4" t="s">
        <v>172</v>
      </c>
      <c r="B7" s="12" t="n">
        <f aca="false">Assumptions!B36*0.05</f>
        <v>500</v>
      </c>
      <c r="C7" s="12" t="n">
        <f aca="false">Assumptions!B36*0.05</f>
        <v>500</v>
      </c>
      <c r="D7" s="12" t="n">
        <f aca="false">Assumptions!B36*0.08</f>
        <v>800</v>
      </c>
      <c r="E7" s="12" t="n">
        <f aca="false">Assumptions!B36*0.15</f>
        <v>1500</v>
      </c>
      <c r="F7" s="12" t="n">
        <f aca="false">Assumptions!B36*0.2</f>
        <v>2000</v>
      </c>
      <c r="G7" s="12" t="n">
        <f aca="false">Assumptions!B36*0.2</f>
        <v>2000</v>
      </c>
      <c r="H7" s="12" t="n">
        <f aca="false">Assumptions!B36*0.12</f>
        <v>1200</v>
      </c>
      <c r="I7" s="12" t="n">
        <f aca="false">Assumptions!B36*0.05</f>
        <v>500</v>
      </c>
      <c r="J7" s="12" t="n">
        <f aca="false">Assumptions!B36*0.02</f>
        <v>200</v>
      </c>
      <c r="K7" s="12" t="n">
        <f aca="false">Assumptions!B36*0.02</f>
        <v>200</v>
      </c>
      <c r="L7" s="12" t="n">
        <f aca="false">Assumptions!B36*0.03</f>
        <v>300</v>
      </c>
      <c r="M7" s="12" t="n">
        <f aca="false">Assumptions!B36*0.03</f>
        <v>300</v>
      </c>
      <c r="N7" s="17" t="n">
        <f aca="false">B7+C7+D7+E7+F7+G7+H7+I7+J7+K7+L7+M7</f>
        <v>10000</v>
      </c>
    </row>
    <row r="8" customFormat="false" ht="15" hidden="false" customHeight="false" outlineLevel="0" collapsed="false">
      <c r="A8" s="4" t="s">
        <v>76</v>
      </c>
      <c r="B8" s="12" t="n">
        <f aca="false">Assumptions!B37*0.02</f>
        <v>70</v>
      </c>
      <c r="C8" s="12" t="n">
        <f aca="false">Assumptions!B37*0.02</f>
        <v>70</v>
      </c>
      <c r="D8" s="12" t="n">
        <f aca="false">Assumptions!B37*0.02</f>
        <v>70</v>
      </c>
      <c r="E8" s="12" t="n">
        <f aca="false">Assumptions!B37*0.02</f>
        <v>70</v>
      </c>
      <c r="F8" s="12" t="n">
        <f aca="false">Assumptions!B37*0.02</f>
        <v>70</v>
      </c>
      <c r="G8" s="12" t="n">
        <f aca="false">Assumptions!B37*0.02</f>
        <v>70</v>
      </c>
      <c r="H8" s="12" t="n">
        <f aca="false">Assumptions!B37*0.05</f>
        <v>175</v>
      </c>
      <c r="I8" s="12" t="n">
        <f aca="false">Assumptions!B37*0.05</f>
        <v>175</v>
      </c>
      <c r="J8" s="12" t="n">
        <f aca="false">Assumptions!B37*0.1</f>
        <v>350</v>
      </c>
      <c r="K8" s="12" t="n">
        <f aca="false">Assumptions!B37*0.25</f>
        <v>875</v>
      </c>
      <c r="L8" s="12" t="n">
        <f aca="false">Assumptions!B37*0.25</f>
        <v>875</v>
      </c>
      <c r="M8" s="12" t="n">
        <f aca="false">Assumptions!B37*0.18</f>
        <v>630</v>
      </c>
      <c r="N8" s="17" t="n">
        <f aca="false">B8+C8+D8+E8+F8+G8+H8+I8+J8+K8+L8+M8</f>
        <v>3500</v>
      </c>
    </row>
    <row r="9" customFormat="false" ht="15" hidden="false" customHeight="false" outlineLevel="0" collapsed="false">
      <c r="A9" s="4" t="s">
        <v>173</v>
      </c>
      <c r="B9" s="12" t="n">
        <f aca="false">Assumptions!B38*0.03</f>
        <v>135</v>
      </c>
      <c r="C9" s="12" t="n">
        <f aca="false">Assumptions!B38*0.03</f>
        <v>135</v>
      </c>
      <c r="D9" s="12" t="n">
        <f aca="false">Assumptions!B38*0.03</f>
        <v>135</v>
      </c>
      <c r="E9" s="12" t="n">
        <f aca="false">Assumptions!B38*0.03</f>
        <v>135</v>
      </c>
      <c r="F9" s="12" t="n">
        <f aca="false">Assumptions!B38*0.03</f>
        <v>135</v>
      </c>
      <c r="G9" s="12" t="n">
        <f aca="false">Assumptions!B38*0.05</f>
        <v>225</v>
      </c>
      <c r="H9" s="12" t="n">
        <f aca="false">Assumptions!B38*0.05</f>
        <v>225</v>
      </c>
      <c r="I9" s="12" t="n">
        <f aca="false">Assumptions!B38*0.08</f>
        <v>360</v>
      </c>
      <c r="J9" s="12" t="n">
        <f aca="false">Assumptions!B38*0.12</f>
        <v>540</v>
      </c>
      <c r="K9" s="12" t="n">
        <f aca="false">Assumptions!B38*0.2</f>
        <v>900</v>
      </c>
      <c r="L9" s="12" t="n">
        <f aca="false">Assumptions!B38*0.2</f>
        <v>900</v>
      </c>
      <c r="M9" s="12" t="n">
        <f aca="false">Assumptions!B38*0.15</f>
        <v>675</v>
      </c>
      <c r="N9" s="17" t="n">
        <f aca="false">B9+C9+D9+E9+F9+G9+H9+I9+J9+K9+L9+M9</f>
        <v>4500</v>
      </c>
    </row>
    <row r="10" customFormat="false" ht="15" hidden="false" customHeight="false" outlineLevel="0" collapsed="false">
      <c r="A10" s="4" t="s">
        <v>174</v>
      </c>
      <c r="B10" s="12" t="n">
        <f aca="false">Assumptions!B39*0.083</f>
        <v>249</v>
      </c>
      <c r="C10" s="12" t="n">
        <f aca="false">Assumptions!B39*0.083</f>
        <v>249</v>
      </c>
      <c r="D10" s="12" t="n">
        <f aca="false">Assumptions!B39*0.083</f>
        <v>249</v>
      </c>
      <c r="E10" s="12" t="n">
        <f aca="false">Assumptions!B39*0.083</f>
        <v>249</v>
      </c>
      <c r="F10" s="12" t="n">
        <f aca="false">Assumptions!B39*0.083</f>
        <v>249</v>
      </c>
      <c r="G10" s="12" t="n">
        <f aca="false">Assumptions!B39*0.083</f>
        <v>249</v>
      </c>
      <c r="H10" s="12" t="n">
        <f aca="false">Assumptions!B39*0.083</f>
        <v>249</v>
      </c>
      <c r="I10" s="12" t="n">
        <f aca="false">Assumptions!B39*0.083</f>
        <v>249</v>
      </c>
      <c r="J10" s="12" t="n">
        <f aca="false">Assumptions!B39*0.083</f>
        <v>249</v>
      </c>
      <c r="K10" s="12" t="n">
        <f aca="false">Assumptions!B39*0.083</f>
        <v>249</v>
      </c>
      <c r="L10" s="12" t="n">
        <f aca="false">Assumptions!B39*0.083</f>
        <v>249</v>
      </c>
      <c r="M10" s="12" t="n">
        <f aca="false">Assumptions!B39*0.087</f>
        <v>261</v>
      </c>
      <c r="N10" s="17" t="n">
        <f aca="false">B10+C10+D10+E10+F10+G10+H10+I10+J10+K10+L10+M10</f>
        <v>3000</v>
      </c>
    </row>
    <row r="11" customFormat="false" ht="15" hidden="false" customHeight="false" outlineLevel="0" collapsed="false">
      <c r="A11" s="4" t="s">
        <v>175</v>
      </c>
      <c r="B11" s="12" t="n">
        <f aca="false">Assumptions!B40*0.08</f>
        <v>320</v>
      </c>
      <c r="C11" s="12" t="n">
        <f aca="false">Assumptions!B40*0.08</f>
        <v>320</v>
      </c>
      <c r="D11" s="12" t="n">
        <f aca="false">Assumptions!B40*0.08</f>
        <v>320</v>
      </c>
      <c r="E11" s="12" t="n">
        <f aca="false">Assumptions!B40*0.07</f>
        <v>280</v>
      </c>
      <c r="F11" s="12" t="n">
        <f aca="false">Assumptions!B40*0.07</f>
        <v>280</v>
      </c>
      <c r="G11" s="12" t="n">
        <f aca="false">Assumptions!B40*0.07</f>
        <v>280</v>
      </c>
      <c r="H11" s="12" t="n">
        <f aca="false">Assumptions!B40*0.07</f>
        <v>280</v>
      </c>
      <c r="I11" s="12" t="n">
        <f aca="false">Assumptions!B40*0.07</f>
        <v>280</v>
      </c>
      <c r="J11" s="12" t="n">
        <f aca="false">Assumptions!B40*0.08</f>
        <v>320</v>
      </c>
      <c r="K11" s="12" t="n">
        <f aca="false">Assumptions!B40*0.08</f>
        <v>320</v>
      </c>
      <c r="L11" s="12" t="n">
        <f aca="false">Assumptions!B40*0.12</f>
        <v>480</v>
      </c>
      <c r="M11" s="12" t="n">
        <f aca="false">Assumptions!B40*0.13</f>
        <v>520</v>
      </c>
      <c r="N11" s="17" t="n">
        <f aca="false">B11+C11+D11+E11+F11+G11+H11+I11+J11+K11+L11+M11</f>
        <v>4000</v>
      </c>
    </row>
    <row r="12" customFormat="false" ht="15" hidden="false" customHeight="false" outlineLevel="0" collapsed="false">
      <c r="A12" s="4" t="s">
        <v>176</v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f aca="false">Assumptions!B41</f>
        <v>7500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7" t="n">
        <f aca="false">B12+C12+D12+E12+F12+G12+H12+I12+J12+K12+L12+M12</f>
        <v>7500</v>
      </c>
    </row>
    <row r="13" customFormat="false" ht="15" hidden="false" customHeight="false" outlineLevel="0" collapsed="false">
      <c r="A13" s="4" t="s">
        <v>177</v>
      </c>
      <c r="B13" s="12" t="n">
        <f aca="false">Assumptions!B42*0.08</f>
        <v>240</v>
      </c>
      <c r="C13" s="12" t="n">
        <f aca="false">Assumptions!B42*0.08</f>
        <v>240</v>
      </c>
      <c r="D13" s="12" t="n">
        <f aca="false">Assumptions!B42*0.08</f>
        <v>240</v>
      </c>
      <c r="E13" s="12" t="n">
        <f aca="false">Assumptions!B42*0.08</f>
        <v>240</v>
      </c>
      <c r="F13" s="12" t="n">
        <f aca="false">Assumptions!B42*0.08</f>
        <v>240</v>
      </c>
      <c r="G13" s="12" t="n">
        <f aca="false">Assumptions!B42*0.08</f>
        <v>240</v>
      </c>
      <c r="H13" s="12" t="n">
        <f aca="false">Assumptions!B42*0.08</f>
        <v>240</v>
      </c>
      <c r="I13" s="12" t="n">
        <f aca="false">Assumptions!B42*0.08</f>
        <v>240</v>
      </c>
      <c r="J13" s="12" t="n">
        <f aca="false">Assumptions!B42*0.09</f>
        <v>270</v>
      </c>
      <c r="K13" s="12" t="n">
        <f aca="false">Assumptions!B42*0.09</f>
        <v>270</v>
      </c>
      <c r="L13" s="12" t="n">
        <f aca="false">Assumptions!B42*0.09</f>
        <v>270</v>
      </c>
      <c r="M13" s="12" t="n">
        <f aca="false">Assumptions!B42*0.09</f>
        <v>270</v>
      </c>
      <c r="N13" s="17" t="n">
        <f aca="false">B13+C13+D13+E13+F13+G13+H13+I13+J13+K13+L13+M13</f>
        <v>3000</v>
      </c>
    </row>
    <row r="14" customFormat="false" ht="15" hidden="false" customHeight="false" outlineLevel="0" collapsed="false">
      <c r="A14" s="4" t="s">
        <v>178</v>
      </c>
      <c r="B14" s="12" t="n">
        <f aca="false">Assumptions!B43*0.02</f>
        <v>110</v>
      </c>
      <c r="C14" s="12" t="n">
        <f aca="false">Assumptions!B43*0.02</f>
        <v>110</v>
      </c>
      <c r="D14" s="12" t="n">
        <f aca="false">Assumptions!B43*0.1</f>
        <v>550</v>
      </c>
      <c r="E14" s="12" t="n">
        <f aca="false">Assumptions!B43*0.18</f>
        <v>990</v>
      </c>
      <c r="F14" s="12" t="n">
        <f aca="false">Assumptions!B43*0.22</f>
        <v>1210</v>
      </c>
      <c r="G14" s="12" t="n">
        <f aca="false">Assumptions!B43*0.2</f>
        <v>1100</v>
      </c>
      <c r="H14" s="12" t="n">
        <f aca="false">Assumptions!B43*0.15</f>
        <v>825</v>
      </c>
      <c r="I14" s="12" t="n">
        <f aca="false">Assumptions!B43*0.05</f>
        <v>275</v>
      </c>
      <c r="J14" s="12" t="n">
        <f aca="false">Assumptions!B43*0.02</f>
        <v>110</v>
      </c>
      <c r="K14" s="12" t="n">
        <f aca="false">Assumptions!B43*0.01</f>
        <v>55</v>
      </c>
      <c r="L14" s="12" t="n">
        <f aca="false">Assumptions!B43*0.01</f>
        <v>55</v>
      </c>
      <c r="M14" s="12" t="n">
        <f aca="false">Assumptions!B43*0.02</f>
        <v>110</v>
      </c>
      <c r="N14" s="17" t="n">
        <f aca="false">B14+C14+D14+E14+F14+G14+H14+I14+J14+K14+L14+M14</f>
        <v>5500</v>
      </c>
    </row>
    <row r="15" customFormat="false" ht="15" hidden="false" customHeight="false" outlineLevel="0" collapsed="false">
      <c r="A15" s="4" t="s">
        <v>179</v>
      </c>
      <c r="B15" s="12" t="n">
        <f aca="false">Assumptions!B44*0.1</f>
        <v>350</v>
      </c>
      <c r="C15" s="12" t="n">
        <f aca="false">Assumptions!B44*0.1</f>
        <v>350</v>
      </c>
      <c r="D15" s="12" t="n">
        <f aca="false">Assumptions!B44*0.1</f>
        <v>350</v>
      </c>
      <c r="E15" s="12" t="n">
        <f aca="false">Assumptions!B44*0.08</f>
        <v>280</v>
      </c>
      <c r="F15" s="12" t="n">
        <f aca="false">Assumptions!B44*0.06</f>
        <v>210</v>
      </c>
      <c r="G15" s="12" t="n">
        <f aca="false">Assumptions!B44*0.05</f>
        <v>175</v>
      </c>
      <c r="H15" s="12" t="n">
        <f aca="false">Assumptions!B44*0.05</f>
        <v>175</v>
      </c>
      <c r="I15" s="12" t="n">
        <f aca="false">Assumptions!B44*0.06</f>
        <v>210</v>
      </c>
      <c r="J15" s="12" t="n">
        <f aca="false">Assumptions!B44*0.08</f>
        <v>280</v>
      </c>
      <c r="K15" s="12" t="n">
        <f aca="false">Assumptions!B44*0.1</f>
        <v>350</v>
      </c>
      <c r="L15" s="12" t="n">
        <f aca="false">Assumptions!B44*0.11</f>
        <v>385</v>
      </c>
      <c r="M15" s="12" t="n">
        <f aca="false">Assumptions!B44*0.11</f>
        <v>385</v>
      </c>
      <c r="N15" s="17" t="n">
        <f aca="false">B15+C15+D15+E15+F15+G15+H15+I15+J15+K15+L15+M15</f>
        <v>3500</v>
      </c>
    </row>
    <row r="16" customFormat="false" ht="15" hidden="false" customHeight="false" outlineLevel="0" collapsed="false">
      <c r="A16" s="4" t="s">
        <v>180</v>
      </c>
      <c r="B16" s="12" t="n">
        <f aca="false">Assumptions!B45*0.08</f>
        <v>360</v>
      </c>
      <c r="C16" s="12" t="n">
        <f aca="false">Assumptions!B45*0.08</f>
        <v>360</v>
      </c>
      <c r="D16" s="12" t="n">
        <f aca="false">Assumptions!B45*0.09</f>
        <v>405</v>
      </c>
      <c r="E16" s="12" t="n">
        <f aca="false">Assumptions!B45*0.09</f>
        <v>405</v>
      </c>
      <c r="F16" s="12" t="n">
        <f aca="false">Assumptions!B45*0.09</f>
        <v>405</v>
      </c>
      <c r="G16" s="12" t="n">
        <f aca="false">Assumptions!B45*0.07</f>
        <v>315</v>
      </c>
      <c r="H16" s="12" t="n">
        <f aca="false">Assumptions!B45*0.06</f>
        <v>270</v>
      </c>
      <c r="I16" s="12" t="n">
        <f aca="false">Assumptions!B45*0.07</f>
        <v>315</v>
      </c>
      <c r="J16" s="12" t="n">
        <f aca="false">Assumptions!B45*0.08</f>
        <v>360</v>
      </c>
      <c r="K16" s="12" t="n">
        <f aca="false">Assumptions!B45*0.09</f>
        <v>405</v>
      </c>
      <c r="L16" s="12" t="n">
        <f aca="false">Assumptions!B45*0.1</f>
        <v>450</v>
      </c>
      <c r="M16" s="12" t="n">
        <f aca="false">Assumptions!B45*0.1</f>
        <v>450</v>
      </c>
      <c r="N16" s="17" t="n">
        <f aca="false">B16+C16+D16+E16+F16+G16+H16+I16+J16+K16+L16+M16</f>
        <v>4500</v>
      </c>
    </row>
    <row r="17" customFormat="false" ht="15" hidden="false" customHeight="false" outlineLevel="0" collapsed="false">
      <c r="A17" s="4" t="s">
        <v>94</v>
      </c>
      <c r="B17" s="12" t="n">
        <f aca="false">Assumptions!B46*0.03</f>
        <v>60</v>
      </c>
      <c r="C17" s="12" t="n">
        <f aca="false">Assumptions!B46*0.03</f>
        <v>60</v>
      </c>
      <c r="D17" s="12" t="n">
        <f aca="false">Assumptions!B46*0.03</f>
        <v>60</v>
      </c>
      <c r="E17" s="12" t="n">
        <f aca="false">Assumptions!B46*0.03</f>
        <v>60</v>
      </c>
      <c r="F17" s="12" t="n">
        <f aca="false">Assumptions!B46*0.03</f>
        <v>60</v>
      </c>
      <c r="G17" s="12" t="n">
        <f aca="false">Assumptions!B46*0.03</f>
        <v>60</v>
      </c>
      <c r="H17" s="12" t="n">
        <f aca="false">Assumptions!B46*0.05</f>
        <v>100</v>
      </c>
      <c r="I17" s="12" t="n">
        <f aca="false">Assumptions!B46*0.08</f>
        <v>160</v>
      </c>
      <c r="J17" s="12" t="n">
        <f aca="false">Assumptions!B46*0.15</f>
        <v>300</v>
      </c>
      <c r="K17" s="12" t="n">
        <f aca="false">Assumptions!B46*0.22</f>
        <v>440</v>
      </c>
      <c r="L17" s="12" t="n">
        <f aca="false">Assumptions!B46*0.2</f>
        <v>400</v>
      </c>
      <c r="M17" s="12" t="n">
        <f aca="false">Assumptions!B46*0.12</f>
        <v>240</v>
      </c>
      <c r="N17" s="17" t="n">
        <f aca="false">B17+C17+D17+E17+F17+G17+H17+I17+J17+K17+L17+M17</f>
        <v>2000</v>
      </c>
    </row>
    <row r="18" customFormat="false" ht="15" hidden="false" customHeight="false" outlineLevel="0" collapsed="false">
      <c r="A18" s="4" t="s">
        <v>181</v>
      </c>
      <c r="B18" s="12" t="n">
        <f aca="false">Assumptions!B47*0.06</f>
        <v>270</v>
      </c>
      <c r="C18" s="12" t="n">
        <f aca="false">Assumptions!B47*0.06</f>
        <v>270</v>
      </c>
      <c r="D18" s="12" t="n">
        <f aca="false">Assumptions!B47*0.08</f>
        <v>360</v>
      </c>
      <c r="E18" s="12" t="n">
        <f aca="false">Assumptions!B47*0.08</f>
        <v>360</v>
      </c>
      <c r="F18" s="12" t="n">
        <f aca="false">Assumptions!B47*0.08</f>
        <v>360</v>
      </c>
      <c r="G18" s="12" t="n">
        <f aca="false">Assumptions!B47*0.05</f>
        <v>225</v>
      </c>
      <c r="H18" s="12" t="n">
        <f aca="false">Assumptions!B47*0.05</f>
        <v>225</v>
      </c>
      <c r="I18" s="12" t="n">
        <f aca="false">Assumptions!B47*0.06</f>
        <v>270</v>
      </c>
      <c r="J18" s="12" t="n">
        <f aca="false">Assumptions!B47*0.08</f>
        <v>360</v>
      </c>
      <c r="K18" s="12" t="n">
        <f aca="false">Assumptions!B47*0.12</f>
        <v>540</v>
      </c>
      <c r="L18" s="12" t="n">
        <f aca="false">Assumptions!B47*0.15</f>
        <v>675</v>
      </c>
      <c r="M18" s="12" t="n">
        <f aca="false">Assumptions!B47*0.13</f>
        <v>585</v>
      </c>
      <c r="N18" s="17" t="n">
        <f aca="false">B18+C18+D18+E18+F18+G18+H18+I18+J18+K18+L18+M18</f>
        <v>4500</v>
      </c>
    </row>
    <row r="19" customFormat="false" ht="15" hidden="false" customHeight="false" outlineLevel="0" collapsed="false">
      <c r="A19" s="9" t="s">
        <v>182</v>
      </c>
      <c r="B19" s="24" t="n">
        <f aca="false">SUM(B4:B18)</f>
        <v>4956.859125</v>
      </c>
      <c r="C19" s="24" t="n">
        <f aca="false">SUM(C4:C18)</f>
        <v>4956.859125</v>
      </c>
      <c r="D19" s="24" t="n">
        <f aca="false">SUM(D4:D18)</f>
        <v>5501.859125</v>
      </c>
      <c r="E19" s="24" t="n">
        <f aca="false">SUM(E4:E18)</f>
        <v>5611.859125</v>
      </c>
      <c r="F19" s="24" t="n">
        <f aca="false">SUM(F4:F18)</f>
        <v>5981.859125</v>
      </c>
      <c r="G19" s="24" t="n">
        <f aca="false">SUM(G4:G18)</f>
        <v>12841.859125</v>
      </c>
      <c r="H19" s="24" t="n">
        <f aca="false">SUM(H4:H18)</f>
        <v>4366.859125</v>
      </c>
      <c r="I19" s="24" t="n">
        <f aca="false">SUM(I4:I18)</f>
        <v>3376.859125</v>
      </c>
      <c r="J19" s="24" t="n">
        <f aca="false">SUM(J4:J18)</f>
        <v>3681.859125</v>
      </c>
      <c r="K19" s="24" t="n">
        <f aca="false">SUM(K4:K18)</f>
        <v>5586.859125</v>
      </c>
      <c r="L19" s="24" t="n">
        <f aca="false">SUM(L4:L18)</f>
        <v>8031.859125</v>
      </c>
      <c r="M19" s="24" t="n">
        <f aca="false">SUM(M4:M18)</f>
        <v>8120.924625</v>
      </c>
      <c r="N19" s="24" t="n">
        <f aca="false">SUM(N4:N18)</f>
        <v>73016.375</v>
      </c>
    </row>
    <row r="21" customFormat="false" ht="15" hidden="false" customHeight="false" outlineLevel="0" collapsed="false">
      <c r="A21" s="25" t="s">
        <v>183</v>
      </c>
      <c r="B21" s="23" t="s">
        <v>156</v>
      </c>
      <c r="C21" s="23" t="s">
        <v>157</v>
      </c>
      <c r="D21" s="23" t="s">
        <v>158</v>
      </c>
      <c r="E21" s="23" t="s">
        <v>159</v>
      </c>
      <c r="F21" s="23" t="s">
        <v>160</v>
      </c>
      <c r="G21" s="23" t="s">
        <v>161</v>
      </c>
      <c r="H21" s="23" t="s">
        <v>162</v>
      </c>
      <c r="I21" s="23" t="s">
        <v>163</v>
      </c>
      <c r="J21" s="23" t="s">
        <v>164</v>
      </c>
      <c r="K21" s="23" t="s">
        <v>165</v>
      </c>
      <c r="L21" s="23" t="s">
        <v>166</v>
      </c>
      <c r="M21" s="23" t="s">
        <v>167</v>
      </c>
      <c r="N21" s="23" t="s">
        <v>168</v>
      </c>
    </row>
    <row r="22" customFormat="false" ht="15" hidden="false" customHeight="false" outlineLevel="0" collapsed="false">
      <c r="A22" s="4" t="s">
        <v>184</v>
      </c>
      <c r="B22" s="12" t="n">
        <f aca="false">Assumptions!B51*0.083</f>
        <v>1494</v>
      </c>
      <c r="C22" s="12" t="n">
        <f aca="false">Assumptions!B51*0.083</f>
        <v>1494</v>
      </c>
      <c r="D22" s="12" t="n">
        <f aca="false">Assumptions!B51*0.083</f>
        <v>1494</v>
      </c>
      <c r="E22" s="12" t="n">
        <f aca="false">Assumptions!B51*0.083</f>
        <v>1494</v>
      </c>
      <c r="F22" s="12" t="n">
        <f aca="false">Assumptions!B51*0.083</f>
        <v>1494</v>
      </c>
      <c r="G22" s="12" t="n">
        <f aca="false">Assumptions!B51*0.083</f>
        <v>1494</v>
      </c>
      <c r="H22" s="12" t="n">
        <f aca="false">Assumptions!B51*0.083</f>
        <v>1494</v>
      </c>
      <c r="I22" s="12" t="n">
        <f aca="false">Assumptions!B51*0.083</f>
        <v>1494</v>
      </c>
      <c r="J22" s="12" t="n">
        <f aca="false">Assumptions!B51*0.083</f>
        <v>1494</v>
      </c>
      <c r="K22" s="12" t="n">
        <f aca="false">Assumptions!B51*0.083</f>
        <v>1494</v>
      </c>
      <c r="L22" s="12" t="n">
        <f aca="false">Assumptions!B51*0.083</f>
        <v>1494</v>
      </c>
      <c r="M22" s="12" t="n">
        <f aca="false">Assumptions!B51*0.087</f>
        <v>1566</v>
      </c>
      <c r="N22" s="17" t="n">
        <f aca="false">B22+C22+D22+E22+F22+G22+H22+I22+J22+K22+L22+M22</f>
        <v>18000</v>
      </c>
    </row>
    <row r="23" customFormat="false" ht="15" hidden="false" customHeight="false" outlineLevel="0" collapsed="false">
      <c r="A23" s="4" t="s">
        <v>185</v>
      </c>
      <c r="B23" s="12" t="n">
        <f aca="false">Assumptions!B52*0.083</f>
        <v>9.333765</v>
      </c>
      <c r="C23" s="12" t="n">
        <f aca="false">Assumptions!B52*0.083</f>
        <v>9.333765</v>
      </c>
      <c r="D23" s="12" t="n">
        <f aca="false">Assumptions!B52*0.083</f>
        <v>9.333765</v>
      </c>
      <c r="E23" s="12" t="n">
        <f aca="false">Assumptions!B52*0.083</f>
        <v>9.333765</v>
      </c>
      <c r="F23" s="12" t="n">
        <f aca="false">Assumptions!B52*0.083</f>
        <v>9.333765</v>
      </c>
      <c r="G23" s="12" t="n">
        <f aca="false">Assumptions!B52*0.083</f>
        <v>9.333765</v>
      </c>
      <c r="H23" s="12" t="n">
        <f aca="false">Assumptions!B52*0.083</f>
        <v>9.333765</v>
      </c>
      <c r="I23" s="12" t="n">
        <f aca="false">Assumptions!B52*0.083</f>
        <v>9.333765</v>
      </c>
      <c r="J23" s="12" t="n">
        <f aca="false">Assumptions!B52*0.083</f>
        <v>9.333765</v>
      </c>
      <c r="K23" s="12" t="n">
        <f aca="false">Assumptions!B52*0.083</f>
        <v>9.333765</v>
      </c>
      <c r="L23" s="12" t="n">
        <f aca="false">Assumptions!B52*0.083</f>
        <v>9.333765</v>
      </c>
      <c r="M23" s="12" t="n">
        <f aca="false">Assumptions!B52*0.087</f>
        <v>9.783585</v>
      </c>
      <c r="N23" s="17" t="n">
        <f aca="false">B23+C23+D23+E23+F23+G23+H23+I23+J23+K23+L23+M23</f>
        <v>112.455</v>
      </c>
    </row>
    <row r="24" customFormat="false" ht="15" hidden="false" customHeight="false" outlineLevel="0" collapsed="false">
      <c r="A24" s="4" t="s">
        <v>186</v>
      </c>
      <c r="B24" s="12" t="n">
        <f aca="false">Assumptions!B53*0.05</f>
        <v>325</v>
      </c>
      <c r="C24" s="12" t="n">
        <f aca="false">Assumptions!B53*0.05</f>
        <v>325</v>
      </c>
      <c r="D24" s="12" t="n">
        <f aca="false">Assumptions!B53*0.08</f>
        <v>520</v>
      </c>
      <c r="E24" s="12" t="n">
        <f aca="false">Assumptions!B53*0.05</f>
        <v>325</v>
      </c>
      <c r="F24" s="12" t="n">
        <f aca="false">Assumptions!B53*0.05</f>
        <v>325</v>
      </c>
      <c r="G24" s="12" t="n">
        <f aca="false">Assumptions!B53*0.08</f>
        <v>520</v>
      </c>
      <c r="H24" s="12" t="n">
        <f aca="false">Assumptions!B53*0.08</f>
        <v>520</v>
      </c>
      <c r="I24" s="12" t="n">
        <f aca="false">Assumptions!B53*0.12</f>
        <v>780</v>
      </c>
      <c r="J24" s="12" t="n">
        <f aca="false">Assumptions!B53*0.15</f>
        <v>975</v>
      </c>
      <c r="K24" s="12" t="n">
        <f aca="false">Assumptions!B53*0.12</f>
        <v>780</v>
      </c>
      <c r="L24" s="12" t="n">
        <f aca="false">Assumptions!B53*0.1</f>
        <v>650</v>
      </c>
      <c r="M24" s="12" t="n">
        <f aca="false">Assumptions!B53*0.07</f>
        <v>455</v>
      </c>
      <c r="N24" s="17" t="n">
        <f aca="false">B24+C24+D24+E24+F24+G24+H24+I24+J24+K24+L24+M24</f>
        <v>6500</v>
      </c>
    </row>
    <row r="25" customFormat="false" ht="15" hidden="false" customHeight="false" outlineLevel="0" collapsed="false">
      <c r="A25" s="4" t="s">
        <v>106</v>
      </c>
      <c r="B25" s="12" t="n">
        <f aca="false">Assumptions!B54*0.08</f>
        <v>240</v>
      </c>
      <c r="C25" s="12" t="n">
        <f aca="false">Assumptions!B54*0.08</f>
        <v>240</v>
      </c>
      <c r="D25" s="12" t="n">
        <f aca="false">Assumptions!B54*0.08</f>
        <v>240</v>
      </c>
      <c r="E25" s="12" t="n">
        <f aca="false">Assumptions!B54*0.08</f>
        <v>240</v>
      </c>
      <c r="F25" s="12" t="n">
        <f aca="false">Assumptions!B54*0.08</f>
        <v>240</v>
      </c>
      <c r="G25" s="12" t="n">
        <f aca="false">Assumptions!B54*0.08</f>
        <v>240</v>
      </c>
      <c r="H25" s="12" t="n">
        <f aca="false">Assumptions!B54*0.08</f>
        <v>240</v>
      </c>
      <c r="I25" s="12" t="n">
        <f aca="false">Assumptions!B54*0.09</f>
        <v>270</v>
      </c>
      <c r="J25" s="12" t="n">
        <f aca="false">Assumptions!B54*0.09</f>
        <v>270</v>
      </c>
      <c r="K25" s="12" t="n">
        <f aca="false">Assumptions!B54*0.09</f>
        <v>270</v>
      </c>
      <c r="L25" s="12" t="n">
        <f aca="false">Assumptions!B54*0.09</f>
        <v>270</v>
      </c>
      <c r="M25" s="12" t="n">
        <f aca="false">Assumptions!B54*0.08</f>
        <v>240</v>
      </c>
      <c r="N25" s="17" t="n">
        <f aca="false">B25+C25+D25+E25+F25+G25+H25+I25+J25+K25+L25+M25</f>
        <v>3000</v>
      </c>
    </row>
    <row r="26" customFormat="false" ht="15" hidden="false" customHeight="false" outlineLevel="0" collapsed="false">
      <c r="A26" s="4" t="s">
        <v>187</v>
      </c>
      <c r="B26" s="12" t="n">
        <f aca="false">Assumptions!B55*0.08</f>
        <v>120</v>
      </c>
      <c r="C26" s="12" t="n">
        <f aca="false">Assumptions!B55*0.08</f>
        <v>120</v>
      </c>
      <c r="D26" s="12" t="n">
        <f aca="false">Assumptions!B55*0.08</f>
        <v>120</v>
      </c>
      <c r="E26" s="12" t="n">
        <f aca="false">Assumptions!B55*0.08</f>
        <v>120</v>
      </c>
      <c r="F26" s="12" t="n">
        <f aca="false">Assumptions!B55*0.08</f>
        <v>120</v>
      </c>
      <c r="G26" s="12" t="n">
        <f aca="false">Assumptions!B55*0.08</f>
        <v>120</v>
      </c>
      <c r="H26" s="12" t="n">
        <f aca="false">Assumptions!B55*0.09</f>
        <v>135</v>
      </c>
      <c r="I26" s="12" t="n">
        <f aca="false">Assumptions!B55*0.09</f>
        <v>135</v>
      </c>
      <c r="J26" s="12" t="n">
        <f aca="false">Assumptions!B55*0.09</f>
        <v>135</v>
      </c>
      <c r="K26" s="12" t="n">
        <f aca="false">Assumptions!B55*0.09</f>
        <v>135</v>
      </c>
      <c r="L26" s="12" t="n">
        <f aca="false">Assumptions!B55*0.08</f>
        <v>120</v>
      </c>
      <c r="M26" s="12" t="n">
        <f aca="false">Assumptions!B55*0.08</f>
        <v>120</v>
      </c>
      <c r="N26" s="17" t="n">
        <f aca="false">B26+C26+D26+E26+F26+G26+H26+I26+J26+K26+L26+M26</f>
        <v>1500</v>
      </c>
    </row>
    <row r="27" customFormat="false" ht="15" hidden="false" customHeight="false" outlineLevel="0" collapsed="false">
      <c r="A27" s="4" t="s">
        <v>110</v>
      </c>
      <c r="B27" s="12" t="n">
        <f aca="false">Assumptions!B56*0.08</f>
        <v>240</v>
      </c>
      <c r="C27" s="12" t="n">
        <f aca="false">Assumptions!B56*0.08</f>
        <v>240</v>
      </c>
      <c r="D27" s="12" t="n">
        <f aca="false">Assumptions!B56*0.08</f>
        <v>240</v>
      </c>
      <c r="E27" s="12" t="n">
        <f aca="false">Assumptions!B56*0.08</f>
        <v>240</v>
      </c>
      <c r="F27" s="12" t="n">
        <f aca="false">Assumptions!B56*0.08</f>
        <v>240</v>
      </c>
      <c r="G27" s="12" t="n">
        <f aca="false">Assumptions!B56*0.08</f>
        <v>240</v>
      </c>
      <c r="H27" s="12" t="n">
        <f aca="false">Assumptions!B56*0.09</f>
        <v>270</v>
      </c>
      <c r="I27" s="12" t="n">
        <f aca="false">Assumptions!B56*0.09</f>
        <v>270</v>
      </c>
      <c r="J27" s="12" t="n">
        <f aca="false">Assumptions!B56*0.09</f>
        <v>270</v>
      </c>
      <c r="K27" s="12" t="n">
        <f aca="false">Assumptions!B56*0.09</f>
        <v>270</v>
      </c>
      <c r="L27" s="12" t="n">
        <f aca="false">Assumptions!B56*0.08</f>
        <v>240</v>
      </c>
      <c r="M27" s="12" t="n">
        <f aca="false">Assumptions!B56*0.08</f>
        <v>240</v>
      </c>
      <c r="N27" s="17" t="n">
        <f aca="false">B27+C27+D27+E27+F27+G27+H27+I27+J27+K27+L27+M27</f>
        <v>3000</v>
      </c>
    </row>
    <row r="28" customFormat="false" ht="15" hidden="false" customHeight="false" outlineLevel="0" collapsed="false">
      <c r="A28" s="4" t="s">
        <v>112</v>
      </c>
      <c r="B28" s="12" t="n">
        <f aca="false">Assumptions!B57*0.07</f>
        <v>175</v>
      </c>
      <c r="C28" s="12" t="n">
        <f aca="false">Assumptions!B57*0.07</f>
        <v>175</v>
      </c>
      <c r="D28" s="12" t="n">
        <f aca="false">Assumptions!B57*0.08</f>
        <v>200</v>
      </c>
      <c r="E28" s="12" t="n">
        <f aca="false">Assumptions!B57*0.09</f>
        <v>225</v>
      </c>
      <c r="F28" s="12" t="n">
        <f aca="false">Assumptions!B57*0.09</f>
        <v>225</v>
      </c>
      <c r="G28" s="12" t="n">
        <f aca="false">Assumptions!B57*0.08</f>
        <v>200</v>
      </c>
      <c r="H28" s="12" t="n">
        <f aca="false">Assumptions!B57*0.07</f>
        <v>175</v>
      </c>
      <c r="I28" s="12" t="n">
        <f aca="false">Assumptions!B57*0.07</f>
        <v>175</v>
      </c>
      <c r="J28" s="12" t="n">
        <f aca="false">Assumptions!B57*0.08</f>
        <v>200</v>
      </c>
      <c r="K28" s="12" t="n">
        <f aca="false">Assumptions!B57*0.1</f>
        <v>250</v>
      </c>
      <c r="L28" s="12" t="n">
        <f aca="false">Assumptions!B57*0.11</f>
        <v>275</v>
      </c>
      <c r="M28" s="12" t="n">
        <f aca="false">Assumptions!B57*0.09</f>
        <v>225</v>
      </c>
      <c r="N28" s="17" t="n">
        <f aca="false">B28+C28+D28+E28+F28+G28+H28+I28+J28+K28+L28+M28</f>
        <v>2500</v>
      </c>
    </row>
    <row r="29" customFormat="false" ht="15" hidden="false" customHeight="false" outlineLevel="0" collapsed="false">
      <c r="A29" s="4" t="s">
        <v>188</v>
      </c>
      <c r="B29" s="12" t="n">
        <f aca="false">Assumptions!B58*0.07</f>
        <v>140</v>
      </c>
      <c r="C29" s="12" t="n">
        <f aca="false">Assumptions!B58*0.07</f>
        <v>140</v>
      </c>
      <c r="D29" s="12" t="n">
        <f aca="false">Assumptions!B58*0.08</f>
        <v>160</v>
      </c>
      <c r="E29" s="12" t="n">
        <f aca="false">Assumptions!B58*0.09</f>
        <v>180</v>
      </c>
      <c r="F29" s="12" t="n">
        <f aca="false">Assumptions!B58*0.09</f>
        <v>180</v>
      </c>
      <c r="G29" s="12" t="n">
        <f aca="false">Assumptions!B58*0.08</f>
        <v>160</v>
      </c>
      <c r="H29" s="12" t="n">
        <f aca="false">Assumptions!B58*0.07</f>
        <v>140</v>
      </c>
      <c r="I29" s="12" t="n">
        <f aca="false">Assumptions!B58*0.07</f>
        <v>140</v>
      </c>
      <c r="J29" s="12" t="n">
        <f aca="false">Assumptions!B58*0.08</f>
        <v>160</v>
      </c>
      <c r="K29" s="12" t="n">
        <f aca="false">Assumptions!B58*0.1</f>
        <v>200</v>
      </c>
      <c r="L29" s="12" t="n">
        <f aca="false">Assumptions!B58*0.11</f>
        <v>220</v>
      </c>
      <c r="M29" s="12" t="n">
        <f aca="false">Assumptions!B58*0.09</f>
        <v>180</v>
      </c>
      <c r="N29" s="17" t="n">
        <f aca="false">B29+C29+D29+E29+F29+G29+H29+I29+J29+K29+L29+M29</f>
        <v>2000</v>
      </c>
    </row>
    <row r="30" customFormat="false" ht="15" hidden="false" customHeight="false" outlineLevel="0" collapsed="false">
      <c r="A30" s="4" t="s">
        <v>116</v>
      </c>
      <c r="B30" s="12" t="n">
        <f aca="false">Assumptions!B59*0.083</f>
        <v>166</v>
      </c>
      <c r="C30" s="12" t="n">
        <f aca="false">Assumptions!B59*0.083</f>
        <v>166</v>
      </c>
      <c r="D30" s="12" t="n">
        <f aca="false">Assumptions!B59*0.083</f>
        <v>166</v>
      </c>
      <c r="E30" s="12" t="n">
        <f aca="false">Assumptions!B59*0.083</f>
        <v>166</v>
      </c>
      <c r="F30" s="12" t="n">
        <f aca="false">Assumptions!B59*0.083</f>
        <v>166</v>
      </c>
      <c r="G30" s="12" t="n">
        <f aca="false">Assumptions!B59*0.083</f>
        <v>166</v>
      </c>
      <c r="H30" s="12" t="n">
        <f aca="false">Assumptions!B59*0.083</f>
        <v>166</v>
      </c>
      <c r="I30" s="12" t="n">
        <f aca="false">Assumptions!B59*0.083</f>
        <v>166</v>
      </c>
      <c r="J30" s="12" t="n">
        <f aca="false">Assumptions!B59*0.083</f>
        <v>166</v>
      </c>
      <c r="K30" s="12" t="n">
        <f aca="false">Assumptions!B59*0.083</f>
        <v>166</v>
      </c>
      <c r="L30" s="12" t="n">
        <f aca="false">Assumptions!B59*0.083</f>
        <v>166</v>
      </c>
      <c r="M30" s="12" t="n">
        <f aca="false">Assumptions!B59*0.087</f>
        <v>174</v>
      </c>
      <c r="N30" s="17" t="n">
        <f aca="false">B30+C30+D30+E30+F30+G30+H30+I30+J30+K30+L30+M30</f>
        <v>2000</v>
      </c>
    </row>
    <row r="31" customFormat="false" ht="15" hidden="false" customHeight="false" outlineLevel="0" collapsed="false">
      <c r="A31" s="18" t="s">
        <v>189</v>
      </c>
      <c r="B31" s="26" t="n">
        <f aca="false">SUM(B22:B30)</f>
        <v>2909.333765</v>
      </c>
      <c r="C31" s="26" t="n">
        <f aca="false">SUM(C22:C30)</f>
        <v>2909.333765</v>
      </c>
      <c r="D31" s="26" t="n">
        <f aca="false">SUM(D22:D30)</f>
        <v>3149.333765</v>
      </c>
      <c r="E31" s="26" t="n">
        <f aca="false">SUM(E22:E30)</f>
        <v>2999.333765</v>
      </c>
      <c r="F31" s="26" t="n">
        <f aca="false">SUM(F22:F30)</f>
        <v>2999.333765</v>
      </c>
      <c r="G31" s="26" t="n">
        <f aca="false">SUM(G22:G30)</f>
        <v>3149.333765</v>
      </c>
      <c r="H31" s="26" t="n">
        <f aca="false">SUM(H22:H30)</f>
        <v>3149.333765</v>
      </c>
      <c r="I31" s="26" t="n">
        <f aca="false">SUM(I22:I30)</f>
        <v>3439.333765</v>
      </c>
      <c r="J31" s="26" t="n">
        <f aca="false">SUM(J22:J30)</f>
        <v>3679.333765</v>
      </c>
      <c r="K31" s="26" t="n">
        <f aca="false">SUM(K22:K30)</f>
        <v>3574.333765</v>
      </c>
      <c r="L31" s="26" t="n">
        <f aca="false">SUM(L22:L30)</f>
        <v>3444.333765</v>
      </c>
      <c r="M31" s="26" t="n">
        <f aca="false">SUM(M22:M30)</f>
        <v>3209.783585</v>
      </c>
      <c r="N31" s="26" t="n">
        <f aca="false">SUM(N22:N30)</f>
        <v>38612.455</v>
      </c>
    </row>
    <row r="33" customFormat="false" ht="15" hidden="false" customHeight="false" outlineLevel="0" collapsed="false">
      <c r="A33" s="27" t="s">
        <v>190</v>
      </c>
      <c r="B33" s="28" t="n">
        <f aca="false">B19-B31</f>
        <v>2047.52536</v>
      </c>
      <c r="C33" s="28" t="n">
        <f aca="false">C19-C31</f>
        <v>2047.52536</v>
      </c>
      <c r="D33" s="28" t="n">
        <f aca="false">D19-D31</f>
        <v>2352.52536</v>
      </c>
      <c r="E33" s="28" t="n">
        <f aca="false">E19-E31</f>
        <v>2612.52536</v>
      </c>
      <c r="F33" s="28" t="n">
        <f aca="false">F19-F31</f>
        <v>2982.52536</v>
      </c>
      <c r="G33" s="28" t="n">
        <f aca="false">G19-G31</f>
        <v>9692.52536</v>
      </c>
      <c r="H33" s="28" t="n">
        <f aca="false">H19-H31</f>
        <v>1217.52536</v>
      </c>
      <c r="I33" s="28" t="n">
        <f aca="false">I19-I31</f>
        <v>-62.4746399999999</v>
      </c>
      <c r="J33" s="28" t="n">
        <f aca="false">J19-J31</f>
        <v>2.52536000000009</v>
      </c>
      <c r="K33" s="28" t="n">
        <f aca="false">K19-K31</f>
        <v>2012.52536</v>
      </c>
      <c r="L33" s="28" t="n">
        <f aca="false">L19-L31</f>
        <v>4587.52536</v>
      </c>
      <c r="M33" s="28" t="n">
        <f aca="false">M19-M31</f>
        <v>4911.14104</v>
      </c>
      <c r="N33" s="28" t="n">
        <f aca="false">N19-N31</f>
        <v>34403.92</v>
      </c>
    </row>
    <row r="34" customFormat="false" ht="15" hidden="false" customHeight="false" outlineLevel="0" collapsed="false">
      <c r="A34" s="16" t="s">
        <v>191</v>
      </c>
      <c r="B34" s="12" t="n">
        <f aca="false">B33</f>
        <v>2047.52536</v>
      </c>
      <c r="C34" s="12" t="n">
        <f aca="false">B34+C33</f>
        <v>4095.05072</v>
      </c>
      <c r="D34" s="12" t="n">
        <f aca="false">C34+D33</f>
        <v>6447.57608</v>
      </c>
      <c r="E34" s="12" t="n">
        <f aca="false">D34+E33</f>
        <v>9060.10144</v>
      </c>
      <c r="F34" s="12" t="n">
        <f aca="false">E34+F33</f>
        <v>12042.6268</v>
      </c>
      <c r="G34" s="12" t="n">
        <f aca="false">F34+G33</f>
        <v>21735.15216</v>
      </c>
      <c r="H34" s="12" t="n">
        <f aca="false">G34+H33</f>
        <v>22952.67752</v>
      </c>
      <c r="I34" s="12" t="n">
        <f aca="false">H34+I33</f>
        <v>22890.20288</v>
      </c>
      <c r="J34" s="12" t="n">
        <f aca="false">I34+J33</f>
        <v>22892.72824</v>
      </c>
      <c r="K34" s="12" t="n">
        <f aca="false">J34+K33</f>
        <v>24905.2536</v>
      </c>
      <c r="L34" s="12" t="n">
        <f aca="false">K34+L33</f>
        <v>29492.77896</v>
      </c>
      <c r="M34" s="12" t="n">
        <f aca="false">L34+M33</f>
        <v>34403.92</v>
      </c>
      <c r="N34" s="17" t="n">
        <f aca="false">M34</f>
        <v>34403.92</v>
      </c>
    </row>
    <row r="36" customFormat="false" ht="15" hidden="false" customHeight="false" outlineLevel="0" collapsed="false">
      <c r="A36" s="3" t="s">
        <v>192</v>
      </c>
      <c r="B36" s="29"/>
    </row>
    <row r="37" customFormat="false" ht="15" hidden="false" customHeight="false" outlineLevel="0" collapsed="false">
      <c r="A37" s="4" t="s">
        <v>193</v>
      </c>
      <c r="B37" s="17" t="n">
        <f aca="false">N19</f>
        <v>73016.375</v>
      </c>
    </row>
    <row r="38" customFormat="false" ht="15" hidden="false" customHeight="false" outlineLevel="0" collapsed="false">
      <c r="A38" s="4" t="s">
        <v>194</v>
      </c>
      <c r="B38" s="17" t="n">
        <f aca="false">N31</f>
        <v>38612.455</v>
      </c>
    </row>
    <row r="39" customFormat="false" ht="15" hidden="false" customHeight="false" outlineLevel="0" collapsed="false">
      <c r="A39" s="4" t="s">
        <v>195</v>
      </c>
      <c r="B39" s="17" t="n">
        <f aca="false">N33</f>
        <v>34403.92</v>
      </c>
    </row>
    <row r="40" customFormat="false" ht="15" hidden="false" customHeight="false" outlineLevel="0" collapsed="false">
      <c r="A40" s="4" t="s">
        <v>196</v>
      </c>
      <c r="B40" s="30" t="n">
        <f aca="false">B39/B37</f>
        <v>0.471180882370564</v>
      </c>
    </row>
    <row r="41" customFormat="false" ht="15" hidden="false" customHeight="false" outlineLevel="0" collapsed="false">
      <c r="A41" s="4" t="s">
        <v>197</v>
      </c>
      <c r="B41" s="17" t="n">
        <f aca="false">B37/12</f>
        <v>6084.69791666667</v>
      </c>
    </row>
    <row r="42" customFormat="false" ht="15" hidden="false" customHeight="false" outlineLevel="0" collapsed="false">
      <c r="A42" s="4" t="s">
        <v>198</v>
      </c>
      <c r="B42" s="17" t="n">
        <f aca="false">B39/12</f>
        <v>2866.99333333333</v>
      </c>
    </row>
    <row r="43" customFormat="false" ht="15" hidden="false" customHeight="false" outlineLevel="0" collapsed="false">
      <c r="A43" s="4" t="s">
        <v>199</v>
      </c>
      <c r="B43" s="30" t="n">
        <f aca="false">(N4+N5)/N19</f>
        <v>0.0481587178218585</v>
      </c>
    </row>
    <row r="44" customFormat="false" ht="15" hidden="false" customHeight="false" outlineLevel="0" collapsed="false">
      <c r="A44" s="4" t="s">
        <v>200</v>
      </c>
      <c r="B44" s="31" t="n">
        <f aca="false">Assumptions!B80/B39</f>
        <v>6.13883534201917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201</v>
      </c>
    </row>
    <row r="3" customFormat="false" ht="15" hidden="false" customHeight="false" outlineLevel="0" collapsed="false">
      <c r="A3" s="3" t="s">
        <v>202</v>
      </c>
      <c r="B3" s="23" t="s">
        <v>203</v>
      </c>
      <c r="C3" s="23" t="s">
        <v>204</v>
      </c>
      <c r="D3" s="23" t="s">
        <v>205</v>
      </c>
      <c r="E3" s="23" t="s">
        <v>206</v>
      </c>
      <c r="F3" s="23" t="s">
        <v>207</v>
      </c>
    </row>
    <row r="4" customFormat="false" ht="15" hidden="false" customHeight="false" outlineLevel="0" collapsed="false">
      <c r="A4" s="4" t="s">
        <v>208</v>
      </c>
      <c r="B4" s="7" t="n">
        <v>0.4</v>
      </c>
      <c r="C4" s="7" t="n">
        <v>1</v>
      </c>
      <c r="D4" s="7" t="n">
        <v>1.1</v>
      </c>
      <c r="E4" s="7" t="n">
        <v>1.15</v>
      </c>
      <c r="F4" s="7" t="n">
        <v>1.2</v>
      </c>
    </row>
    <row r="5" customFormat="false" ht="15" hidden="false" customHeight="false" outlineLevel="0" collapsed="false">
      <c r="A5" s="4" t="s">
        <v>209</v>
      </c>
      <c r="B5" s="7" t="n">
        <v>0.6</v>
      </c>
      <c r="C5" s="7" t="n">
        <v>1</v>
      </c>
      <c r="D5" s="7" t="n">
        <v>1.05</v>
      </c>
      <c r="E5" s="7" t="n">
        <v>1.08</v>
      </c>
      <c r="F5" s="7" t="n">
        <v>1.1</v>
      </c>
    </row>
    <row r="7" customFormat="false" ht="15" hidden="false" customHeight="false" outlineLevel="0" collapsed="false">
      <c r="A7" s="9" t="s">
        <v>155</v>
      </c>
      <c r="B7" s="10"/>
      <c r="C7" s="10"/>
      <c r="D7" s="10"/>
      <c r="E7" s="10"/>
      <c r="F7" s="10"/>
    </row>
    <row r="8" customFormat="false" ht="15" hidden="false" customHeight="false" outlineLevel="0" collapsed="false">
      <c r="A8" s="4" t="s">
        <v>210</v>
      </c>
      <c r="B8" s="12" t="n">
        <f aca="false">Assumptions!B32*B4</f>
        <v>1406.55</v>
      </c>
      <c r="C8" s="12" t="n">
        <f aca="false">Assumptions!B32*C4</f>
        <v>3516.375</v>
      </c>
      <c r="D8" s="12" t="n">
        <f aca="false">Assumptions!B32*D4</f>
        <v>3868.0125</v>
      </c>
      <c r="E8" s="12" t="n">
        <f aca="false">Assumptions!B32*E4</f>
        <v>4043.83125</v>
      </c>
      <c r="F8" s="12" t="n">
        <f aca="false">Assumptions!B32*F4</f>
        <v>4219.65</v>
      </c>
    </row>
    <row r="9" customFormat="false" ht="15" hidden="false" customHeight="false" outlineLevel="0" collapsed="false">
      <c r="A9" s="4" t="s">
        <v>211</v>
      </c>
      <c r="B9" s="12" t="n">
        <f aca="false">Assumptions!B48*B4</f>
        <v>27800</v>
      </c>
      <c r="C9" s="12" t="n">
        <f aca="false">Assumptions!B48*C4</f>
        <v>69500</v>
      </c>
      <c r="D9" s="12" t="n">
        <f aca="false">Assumptions!B48*D4</f>
        <v>76450</v>
      </c>
      <c r="E9" s="12" t="n">
        <f aca="false">Assumptions!B48*E4</f>
        <v>79925</v>
      </c>
      <c r="F9" s="12" t="n">
        <f aca="false">Assumptions!B48*F4</f>
        <v>83400</v>
      </c>
    </row>
    <row r="10" customFormat="false" ht="15" hidden="false" customHeight="false" outlineLevel="0" collapsed="false">
      <c r="A10" s="9" t="s">
        <v>212</v>
      </c>
      <c r="B10" s="24" t="n">
        <f aca="false">B8+B9</f>
        <v>29206.55</v>
      </c>
      <c r="C10" s="24" t="n">
        <f aca="false">C8+C9</f>
        <v>73016.375</v>
      </c>
      <c r="D10" s="24" t="n">
        <f aca="false">D8+D9</f>
        <v>80318.0125</v>
      </c>
      <c r="E10" s="24" t="n">
        <f aca="false">E8+E9</f>
        <v>83968.83125</v>
      </c>
      <c r="F10" s="24" t="n">
        <f aca="false">F8+F9</f>
        <v>87619.65</v>
      </c>
    </row>
    <row r="12" customFormat="false" ht="15" hidden="false" customHeight="false" outlineLevel="0" collapsed="false">
      <c r="A12" s="18" t="s">
        <v>213</v>
      </c>
      <c r="B12" s="19"/>
      <c r="C12" s="19"/>
      <c r="D12" s="19"/>
      <c r="E12" s="19"/>
      <c r="F12" s="19"/>
    </row>
    <row r="13" customFormat="false" ht="15" hidden="false" customHeight="false" outlineLevel="0" collapsed="false">
      <c r="A13" s="4" t="s">
        <v>214</v>
      </c>
      <c r="B13" s="12" t="n">
        <f aca="false">Assumptions!B60*B5</f>
        <v>23167.473</v>
      </c>
      <c r="C13" s="12" t="n">
        <f aca="false">Assumptions!B60*C5</f>
        <v>38612.455</v>
      </c>
      <c r="D13" s="12" t="n">
        <f aca="false">Assumptions!B60*D5</f>
        <v>40543.07775</v>
      </c>
      <c r="E13" s="12" t="n">
        <f aca="false">Assumptions!B60*E5</f>
        <v>41701.4514</v>
      </c>
      <c r="F13" s="12" t="n">
        <f aca="false">Assumptions!B60*F5</f>
        <v>42473.7005</v>
      </c>
    </row>
    <row r="14" customFormat="false" ht="15" hidden="false" customHeight="false" outlineLevel="0" collapsed="false">
      <c r="A14" s="4" t="s">
        <v>215</v>
      </c>
      <c r="B14" s="15" t="n">
        <v>120000</v>
      </c>
      <c r="C14" s="15" t="n">
        <v>50000</v>
      </c>
      <c r="D14" s="15" t="n">
        <v>25000</v>
      </c>
      <c r="E14" s="15" t="n">
        <v>10000</v>
      </c>
      <c r="F14" s="15" t="n">
        <v>5000</v>
      </c>
    </row>
    <row r="15" customFormat="false" ht="15" hidden="false" customHeight="false" outlineLevel="0" collapsed="false">
      <c r="A15" s="18" t="s">
        <v>216</v>
      </c>
      <c r="B15" s="26" t="n">
        <f aca="false">B13+B14</f>
        <v>143167.473</v>
      </c>
      <c r="C15" s="26" t="n">
        <f aca="false">C13+C14</f>
        <v>88612.455</v>
      </c>
      <c r="D15" s="26" t="n">
        <f aca="false">D13+D14</f>
        <v>65543.07775</v>
      </c>
      <c r="E15" s="26" t="n">
        <f aca="false">E13+E14</f>
        <v>51701.4514</v>
      </c>
      <c r="F15" s="26" t="n">
        <f aca="false">F13+F14</f>
        <v>47473.7005</v>
      </c>
    </row>
    <row r="17" customFormat="false" ht="15" hidden="false" customHeight="false" outlineLevel="0" collapsed="false">
      <c r="A17" s="16" t="s">
        <v>217</v>
      </c>
      <c r="B17" s="17" t="n">
        <f aca="false">B10-B13</f>
        <v>6039.077</v>
      </c>
      <c r="C17" s="17" t="n">
        <f aca="false">C10-C13</f>
        <v>34403.92</v>
      </c>
      <c r="D17" s="17" t="n">
        <f aca="false">D10-D13</f>
        <v>39774.93475</v>
      </c>
      <c r="E17" s="17" t="n">
        <f aca="false">E10-E13</f>
        <v>42267.37985</v>
      </c>
      <c r="F17" s="17" t="n">
        <f aca="false">F10-F13</f>
        <v>45145.9495</v>
      </c>
    </row>
    <row r="18" customFormat="false" ht="15" hidden="false" customHeight="false" outlineLevel="0" collapsed="false">
      <c r="A18" s="32" t="s">
        <v>218</v>
      </c>
      <c r="B18" s="28" t="n">
        <f aca="false">B10-B15</f>
        <v>-113960.923</v>
      </c>
      <c r="C18" s="28" t="n">
        <f aca="false">C10-C15</f>
        <v>-15596.08</v>
      </c>
      <c r="D18" s="28" t="n">
        <f aca="false">D10-D15</f>
        <v>14774.93475</v>
      </c>
      <c r="E18" s="28" t="n">
        <f aca="false">E10-E15</f>
        <v>32267.37985</v>
      </c>
      <c r="F18" s="28" t="n">
        <f aca="false">F10-F15</f>
        <v>40145.9495</v>
      </c>
    </row>
    <row r="19" customFormat="false" ht="15" hidden="false" customHeight="false" outlineLevel="0" collapsed="false">
      <c r="A19" s="16" t="s">
        <v>191</v>
      </c>
      <c r="B19" s="17" t="n">
        <f aca="false">B18</f>
        <v>-113960.923</v>
      </c>
      <c r="C19" s="17" t="n">
        <f aca="false">B19+C18</f>
        <v>-129557.003</v>
      </c>
      <c r="D19" s="17" t="n">
        <f aca="false">C19+D18</f>
        <v>-114782.06825</v>
      </c>
      <c r="E19" s="17" t="n">
        <f aca="false">D19+E18</f>
        <v>-82514.6884</v>
      </c>
      <c r="F19" s="17" t="n">
        <f aca="false">E19+F18</f>
        <v>-42368.7389</v>
      </c>
    </row>
    <row r="21" customFormat="false" ht="15" hidden="false" customHeight="false" outlineLevel="0" collapsed="false">
      <c r="A21" s="4" t="s">
        <v>196</v>
      </c>
      <c r="B21" s="33" t="n">
        <f aca="false">B17/B10</f>
        <v>0.206771323555846</v>
      </c>
      <c r="C21" s="33" t="n">
        <f aca="false">C17/C10</f>
        <v>0.471180882370564</v>
      </c>
      <c r="D21" s="33" t="n">
        <f aca="false">D17/D10</f>
        <v>0.495218114990084</v>
      </c>
      <c r="E21" s="33" t="n">
        <f aca="false">E17/E10</f>
        <v>0.503369872139312</v>
      </c>
      <c r="F21" s="33" t="n">
        <f aca="false">F17/F10</f>
        <v>0.515249142173017</v>
      </c>
    </row>
    <row r="22" customFormat="false" ht="15" hidden="false" customHeight="false" outlineLevel="0" collapsed="false">
      <c r="A22" s="4" t="s">
        <v>219</v>
      </c>
      <c r="B22" s="12" t="n">
        <f aca="false">B10/25</f>
        <v>1168.262</v>
      </c>
      <c r="C22" s="12" t="n">
        <f aca="false">C10/25</f>
        <v>2920.655</v>
      </c>
      <c r="D22" s="12" t="n">
        <f aca="false">D10/25</f>
        <v>3212.7205</v>
      </c>
      <c r="E22" s="12" t="n">
        <f aca="false">E10/25</f>
        <v>3358.75325</v>
      </c>
      <c r="F22" s="12" t="n">
        <f aca="false">F10/25</f>
        <v>3504.786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6" min="2" style="0" width="10"/>
  </cols>
  <sheetData>
    <row r="1" customFormat="false" ht="17.35" hidden="false" customHeight="false" outlineLevel="0" collapsed="false">
      <c r="A1" s="1" t="s">
        <v>220</v>
      </c>
    </row>
    <row r="3" customFormat="false" ht="15" hidden="false" customHeight="false" outlineLevel="0" collapsed="false">
      <c r="A3" s="23" t="s">
        <v>221</v>
      </c>
      <c r="B3" s="23" t="s">
        <v>222</v>
      </c>
      <c r="C3" s="23" t="s">
        <v>223</v>
      </c>
      <c r="D3" s="23" t="s">
        <v>224</v>
      </c>
      <c r="E3" s="23" t="s">
        <v>225</v>
      </c>
      <c r="F3" s="23" t="s">
        <v>226</v>
      </c>
      <c r="G3" s="23" t="s">
        <v>227</v>
      </c>
      <c r="H3" s="23" t="s">
        <v>228</v>
      </c>
      <c r="I3" s="23" t="s">
        <v>229</v>
      </c>
      <c r="J3" s="23" t="s">
        <v>230</v>
      </c>
      <c r="K3" s="23" t="s">
        <v>231</v>
      </c>
      <c r="L3" s="23" t="s">
        <v>232</v>
      </c>
      <c r="M3" s="23" t="s">
        <v>233</v>
      </c>
      <c r="N3" s="23" t="s">
        <v>234</v>
      </c>
      <c r="O3" s="23" t="s">
        <v>235</v>
      </c>
      <c r="P3" s="23" t="s">
        <v>236</v>
      </c>
    </row>
    <row r="4" customFormat="false" ht="15" hidden="false" customHeight="false" outlineLevel="0" collapsed="false">
      <c r="A4" s="34" t="s">
        <v>237</v>
      </c>
      <c r="B4" s="35" t="s">
        <v>238</v>
      </c>
      <c r="C4" s="34" t="s">
        <v>239</v>
      </c>
      <c r="D4" s="34" t="s">
        <v>239</v>
      </c>
      <c r="E4" s="34" t="s">
        <v>239</v>
      </c>
      <c r="F4" s="34" t="s">
        <v>239</v>
      </c>
      <c r="G4" s="34" t="s">
        <v>239</v>
      </c>
      <c r="H4" s="34" t="s">
        <v>239</v>
      </c>
      <c r="I4" s="34" t="s">
        <v>239</v>
      </c>
      <c r="J4" s="34" t="s">
        <v>239</v>
      </c>
      <c r="K4" s="34" t="s">
        <v>239</v>
      </c>
      <c r="L4" s="34" t="s">
        <v>239</v>
      </c>
      <c r="M4" s="34" t="s">
        <v>239</v>
      </c>
      <c r="N4" s="34" t="s">
        <v>239</v>
      </c>
      <c r="O4" s="34" t="s">
        <v>239</v>
      </c>
      <c r="P4" s="34" t="s">
        <v>239</v>
      </c>
    </row>
    <row r="5" customFormat="false" ht="15" hidden="false" customHeight="false" outlineLevel="0" collapsed="false">
      <c r="A5" s="34" t="s">
        <v>240</v>
      </c>
      <c r="B5" s="36" t="s">
        <v>241</v>
      </c>
      <c r="C5" s="35" t="s">
        <v>238</v>
      </c>
      <c r="D5" s="34" t="s">
        <v>239</v>
      </c>
      <c r="E5" s="34" t="s">
        <v>239</v>
      </c>
      <c r="F5" s="34" t="s">
        <v>239</v>
      </c>
      <c r="G5" s="34" t="s">
        <v>239</v>
      </c>
      <c r="H5" s="34" t="s">
        <v>239</v>
      </c>
      <c r="I5" s="34" t="s">
        <v>239</v>
      </c>
      <c r="J5" s="34" t="s">
        <v>239</v>
      </c>
      <c r="K5" s="34" t="s">
        <v>239</v>
      </c>
      <c r="L5" s="34" t="s">
        <v>239</v>
      </c>
      <c r="M5" s="34" t="s">
        <v>239</v>
      </c>
      <c r="N5" s="34" t="s">
        <v>239</v>
      </c>
      <c r="O5" s="34" t="s">
        <v>239</v>
      </c>
      <c r="P5" s="34" t="s">
        <v>239</v>
      </c>
    </row>
    <row r="6" customFormat="false" ht="15" hidden="false" customHeight="false" outlineLevel="0" collapsed="false">
      <c r="A6" s="34" t="s">
        <v>242</v>
      </c>
      <c r="B6" s="36" t="s">
        <v>243</v>
      </c>
      <c r="C6" s="36" t="s">
        <v>241</v>
      </c>
      <c r="D6" s="35" t="s">
        <v>238</v>
      </c>
      <c r="E6" s="34" t="s">
        <v>239</v>
      </c>
      <c r="F6" s="34" t="s">
        <v>239</v>
      </c>
      <c r="G6" s="34" t="s">
        <v>239</v>
      </c>
      <c r="H6" s="34" t="s">
        <v>239</v>
      </c>
      <c r="I6" s="34" t="s">
        <v>239</v>
      </c>
      <c r="J6" s="34" t="s">
        <v>239</v>
      </c>
      <c r="K6" s="34" t="s">
        <v>239</v>
      </c>
      <c r="L6" s="34" t="s">
        <v>239</v>
      </c>
      <c r="M6" s="34" t="s">
        <v>239</v>
      </c>
      <c r="N6" s="34" t="s">
        <v>239</v>
      </c>
      <c r="O6" s="34" t="s">
        <v>239</v>
      </c>
      <c r="P6" s="34" t="s">
        <v>239</v>
      </c>
    </row>
    <row r="7" customFormat="false" ht="15" hidden="false" customHeight="false" outlineLevel="0" collapsed="false">
      <c r="A7" s="34" t="s">
        <v>244</v>
      </c>
      <c r="B7" s="36" t="s">
        <v>245</v>
      </c>
      <c r="C7" s="36" t="s">
        <v>243</v>
      </c>
      <c r="D7" s="36" t="s">
        <v>241</v>
      </c>
      <c r="E7" s="35" t="s">
        <v>238</v>
      </c>
      <c r="F7" s="34" t="s">
        <v>239</v>
      </c>
      <c r="G7" s="34" t="s">
        <v>239</v>
      </c>
      <c r="H7" s="34" t="s">
        <v>239</v>
      </c>
      <c r="I7" s="34" t="s">
        <v>239</v>
      </c>
      <c r="J7" s="34" t="s">
        <v>239</v>
      </c>
      <c r="K7" s="34" t="s">
        <v>239</v>
      </c>
      <c r="L7" s="34" t="s">
        <v>239</v>
      </c>
      <c r="M7" s="34" t="s">
        <v>239</v>
      </c>
      <c r="N7" s="34" t="s">
        <v>239</v>
      </c>
      <c r="O7" s="34" t="s">
        <v>239</v>
      </c>
      <c r="P7" s="34" t="s">
        <v>239</v>
      </c>
    </row>
    <row r="8" customFormat="false" ht="15" hidden="false" customHeight="false" outlineLevel="0" collapsed="false">
      <c r="A8" s="34" t="s">
        <v>246</v>
      </c>
      <c r="B8" s="36" t="s">
        <v>247</v>
      </c>
      <c r="C8" s="36" t="s">
        <v>245</v>
      </c>
      <c r="D8" s="36" t="s">
        <v>243</v>
      </c>
      <c r="E8" s="36" t="s">
        <v>241</v>
      </c>
      <c r="F8" s="35" t="s">
        <v>238</v>
      </c>
      <c r="G8" s="34" t="s">
        <v>239</v>
      </c>
      <c r="H8" s="34" t="s">
        <v>239</v>
      </c>
      <c r="I8" s="34" t="s">
        <v>239</v>
      </c>
      <c r="J8" s="34" t="s">
        <v>239</v>
      </c>
      <c r="K8" s="34" t="s">
        <v>239</v>
      </c>
      <c r="L8" s="34" t="s">
        <v>239</v>
      </c>
      <c r="M8" s="34" t="s">
        <v>239</v>
      </c>
      <c r="N8" s="34" t="s">
        <v>239</v>
      </c>
      <c r="O8" s="34" t="s">
        <v>239</v>
      </c>
      <c r="P8" s="34" t="s">
        <v>239</v>
      </c>
    </row>
    <row r="9" customFormat="false" ht="15" hidden="false" customHeight="false" outlineLevel="0" collapsed="false">
      <c r="A9" s="34" t="s">
        <v>248</v>
      </c>
      <c r="B9" s="37" t="s">
        <v>249</v>
      </c>
      <c r="C9" s="36" t="s">
        <v>247</v>
      </c>
      <c r="D9" s="36" t="s">
        <v>245</v>
      </c>
      <c r="E9" s="36" t="s">
        <v>243</v>
      </c>
      <c r="F9" s="36" t="s">
        <v>241</v>
      </c>
      <c r="G9" s="35" t="s">
        <v>238</v>
      </c>
      <c r="H9" s="34" t="s">
        <v>239</v>
      </c>
      <c r="I9" s="34" t="s">
        <v>239</v>
      </c>
      <c r="J9" s="34" t="s">
        <v>239</v>
      </c>
      <c r="K9" s="34" t="s">
        <v>239</v>
      </c>
      <c r="L9" s="34" t="s">
        <v>239</v>
      </c>
      <c r="M9" s="34" t="s">
        <v>239</v>
      </c>
      <c r="N9" s="34" t="s">
        <v>239</v>
      </c>
      <c r="O9" s="34" t="s">
        <v>239</v>
      </c>
      <c r="P9" s="34" t="s">
        <v>239</v>
      </c>
    </row>
    <row r="10" customFormat="false" ht="15" hidden="false" customHeight="false" outlineLevel="0" collapsed="false">
      <c r="A10" s="34" t="s">
        <v>250</v>
      </c>
      <c r="B10" s="35" t="s">
        <v>238</v>
      </c>
      <c r="C10" s="37" t="s">
        <v>249</v>
      </c>
      <c r="D10" s="36" t="s">
        <v>247</v>
      </c>
      <c r="E10" s="36" t="s">
        <v>245</v>
      </c>
      <c r="F10" s="36" t="s">
        <v>243</v>
      </c>
      <c r="G10" s="36" t="s">
        <v>241</v>
      </c>
      <c r="H10" s="35" t="s">
        <v>238</v>
      </c>
      <c r="I10" s="34" t="s">
        <v>239</v>
      </c>
      <c r="J10" s="34" t="s">
        <v>239</v>
      </c>
      <c r="K10" s="34" t="s">
        <v>239</v>
      </c>
      <c r="L10" s="34" t="s">
        <v>239</v>
      </c>
      <c r="M10" s="34" t="s">
        <v>239</v>
      </c>
      <c r="N10" s="34" t="s">
        <v>239</v>
      </c>
      <c r="O10" s="34" t="s">
        <v>239</v>
      </c>
      <c r="P10" s="34" t="s">
        <v>239</v>
      </c>
    </row>
    <row r="11" customFormat="false" ht="15" hidden="false" customHeight="false" outlineLevel="0" collapsed="false">
      <c r="A11" s="34" t="s">
        <v>251</v>
      </c>
      <c r="B11" s="36" t="s">
        <v>241</v>
      </c>
      <c r="C11" s="35" t="s">
        <v>238</v>
      </c>
      <c r="D11" s="37" t="s">
        <v>249</v>
      </c>
      <c r="E11" s="36" t="s">
        <v>247</v>
      </c>
      <c r="F11" s="36" t="s">
        <v>245</v>
      </c>
      <c r="G11" s="36" t="s">
        <v>243</v>
      </c>
      <c r="H11" s="36" t="s">
        <v>241</v>
      </c>
      <c r="I11" s="35" t="s">
        <v>238</v>
      </c>
      <c r="J11" s="34" t="s">
        <v>239</v>
      </c>
      <c r="K11" s="34" t="s">
        <v>239</v>
      </c>
      <c r="L11" s="34" t="s">
        <v>239</v>
      </c>
      <c r="M11" s="34" t="s">
        <v>239</v>
      </c>
      <c r="N11" s="34" t="s">
        <v>239</v>
      </c>
      <c r="O11" s="34" t="s">
        <v>239</v>
      </c>
      <c r="P11" s="34" t="s">
        <v>239</v>
      </c>
    </row>
    <row r="12" customFormat="false" ht="15" hidden="false" customHeight="false" outlineLevel="0" collapsed="false">
      <c r="A12" s="34" t="s">
        <v>252</v>
      </c>
      <c r="B12" s="36" t="s">
        <v>243</v>
      </c>
      <c r="C12" s="36" t="s">
        <v>241</v>
      </c>
      <c r="D12" s="35" t="s">
        <v>238</v>
      </c>
      <c r="E12" s="37" t="s">
        <v>249</v>
      </c>
      <c r="F12" s="36" t="s">
        <v>247</v>
      </c>
      <c r="G12" s="36" t="s">
        <v>245</v>
      </c>
      <c r="H12" s="36" t="s">
        <v>243</v>
      </c>
      <c r="I12" s="36" t="s">
        <v>241</v>
      </c>
      <c r="J12" s="34" t="s">
        <v>239</v>
      </c>
      <c r="K12" s="34" t="s">
        <v>239</v>
      </c>
      <c r="L12" s="34" t="s">
        <v>239</v>
      </c>
      <c r="M12" s="34" t="s">
        <v>239</v>
      </c>
      <c r="N12" s="34" t="s">
        <v>239</v>
      </c>
      <c r="O12" s="34" t="s">
        <v>239</v>
      </c>
      <c r="P12" s="34" t="s">
        <v>239</v>
      </c>
    </row>
    <row r="13" customFormat="false" ht="15" hidden="false" customHeight="false" outlineLevel="0" collapsed="false">
      <c r="A13" s="34" t="s">
        <v>253</v>
      </c>
      <c r="B13" s="36" t="s">
        <v>245</v>
      </c>
      <c r="C13" s="36" t="s">
        <v>243</v>
      </c>
      <c r="D13" s="36" t="s">
        <v>241</v>
      </c>
      <c r="E13" s="35" t="s">
        <v>238</v>
      </c>
      <c r="F13" s="37" t="s">
        <v>249</v>
      </c>
      <c r="G13" s="36" t="s">
        <v>247</v>
      </c>
      <c r="H13" s="36" t="s">
        <v>245</v>
      </c>
      <c r="I13" s="36" t="s">
        <v>243</v>
      </c>
      <c r="J13" s="35" t="s">
        <v>238</v>
      </c>
      <c r="K13" s="34" t="s">
        <v>239</v>
      </c>
      <c r="L13" s="34" t="s">
        <v>239</v>
      </c>
      <c r="M13" s="34" t="s">
        <v>239</v>
      </c>
      <c r="N13" s="34" t="s">
        <v>239</v>
      </c>
      <c r="O13" s="34" t="s">
        <v>239</v>
      </c>
      <c r="P13" s="34" t="s">
        <v>239</v>
      </c>
    </row>
    <row r="14" customFormat="false" ht="15" hidden="false" customHeight="false" outlineLevel="0" collapsed="false">
      <c r="A14" s="34" t="s">
        <v>254</v>
      </c>
      <c r="B14" s="36" t="s">
        <v>247</v>
      </c>
      <c r="C14" s="36" t="s">
        <v>245</v>
      </c>
      <c r="D14" s="36" t="s">
        <v>243</v>
      </c>
      <c r="E14" s="36" t="s">
        <v>241</v>
      </c>
      <c r="F14" s="35" t="s">
        <v>238</v>
      </c>
      <c r="G14" s="37" t="s">
        <v>249</v>
      </c>
      <c r="H14" s="36" t="s">
        <v>247</v>
      </c>
      <c r="I14" s="36" t="s">
        <v>245</v>
      </c>
      <c r="J14" s="36" t="s">
        <v>241</v>
      </c>
      <c r="K14" s="35" t="s">
        <v>238</v>
      </c>
      <c r="L14" s="34" t="s">
        <v>239</v>
      </c>
      <c r="M14" s="34" t="s">
        <v>239</v>
      </c>
      <c r="N14" s="34" t="s">
        <v>239</v>
      </c>
      <c r="O14" s="34" t="s">
        <v>239</v>
      </c>
      <c r="P14" s="34" t="s">
        <v>239</v>
      </c>
    </row>
    <row r="15" customFormat="false" ht="15" hidden="false" customHeight="false" outlineLevel="0" collapsed="false">
      <c r="A15" s="34" t="s">
        <v>255</v>
      </c>
      <c r="B15" s="37" t="s">
        <v>249</v>
      </c>
      <c r="C15" s="36" t="s">
        <v>247</v>
      </c>
      <c r="D15" s="36" t="s">
        <v>245</v>
      </c>
      <c r="E15" s="36" t="s">
        <v>243</v>
      </c>
      <c r="F15" s="36" t="s">
        <v>241</v>
      </c>
      <c r="G15" s="35" t="s">
        <v>238</v>
      </c>
      <c r="H15" s="37" t="s">
        <v>249</v>
      </c>
      <c r="I15" s="36" t="s">
        <v>247</v>
      </c>
      <c r="J15" s="36" t="s">
        <v>243</v>
      </c>
      <c r="K15" s="36" t="s">
        <v>241</v>
      </c>
      <c r="L15" s="35" t="s">
        <v>238</v>
      </c>
      <c r="M15" s="34" t="s">
        <v>239</v>
      </c>
      <c r="N15" s="34" t="s">
        <v>239</v>
      </c>
      <c r="O15" s="34" t="s">
        <v>239</v>
      </c>
      <c r="P15" s="34" t="s">
        <v>239</v>
      </c>
    </row>
    <row r="16" customFormat="false" ht="15" hidden="false" customHeight="false" outlineLevel="0" collapsed="false">
      <c r="A16" s="34" t="s">
        <v>256</v>
      </c>
      <c r="B16" s="35" t="s">
        <v>238</v>
      </c>
      <c r="C16" s="37" t="s">
        <v>249</v>
      </c>
      <c r="D16" s="36" t="s">
        <v>247</v>
      </c>
      <c r="E16" s="36" t="s">
        <v>245</v>
      </c>
      <c r="F16" s="36" t="s">
        <v>243</v>
      </c>
      <c r="G16" s="36" t="s">
        <v>241</v>
      </c>
      <c r="H16" s="35" t="s">
        <v>238</v>
      </c>
      <c r="I16" s="37" t="s">
        <v>249</v>
      </c>
      <c r="J16" s="36" t="s">
        <v>245</v>
      </c>
      <c r="K16" s="36" t="s">
        <v>243</v>
      </c>
      <c r="L16" s="36" t="s">
        <v>241</v>
      </c>
      <c r="M16" s="35" t="s">
        <v>238</v>
      </c>
      <c r="N16" s="34" t="s">
        <v>239</v>
      </c>
      <c r="O16" s="34" t="s">
        <v>239</v>
      </c>
      <c r="P16" s="34" t="s">
        <v>239</v>
      </c>
    </row>
    <row r="17" customFormat="false" ht="15" hidden="false" customHeight="false" outlineLevel="0" collapsed="false">
      <c r="A17" s="34" t="s">
        <v>257</v>
      </c>
      <c r="B17" s="36" t="s">
        <v>241</v>
      </c>
      <c r="C17" s="35" t="s">
        <v>238</v>
      </c>
      <c r="D17" s="37" t="s">
        <v>249</v>
      </c>
      <c r="E17" s="36" t="s">
        <v>247</v>
      </c>
      <c r="F17" s="36" t="s">
        <v>245</v>
      </c>
      <c r="G17" s="36" t="s">
        <v>243</v>
      </c>
      <c r="H17" s="36" t="s">
        <v>241</v>
      </c>
      <c r="I17" s="35" t="s">
        <v>238</v>
      </c>
      <c r="J17" s="36" t="s">
        <v>247</v>
      </c>
      <c r="K17" s="36" t="s">
        <v>245</v>
      </c>
      <c r="L17" s="36" t="s">
        <v>243</v>
      </c>
      <c r="M17" s="36" t="s">
        <v>241</v>
      </c>
      <c r="N17" s="35" t="s">
        <v>238</v>
      </c>
      <c r="O17" s="34" t="s">
        <v>239</v>
      </c>
      <c r="P17" s="34" t="s">
        <v>239</v>
      </c>
    </row>
    <row r="18" customFormat="false" ht="15" hidden="false" customHeight="false" outlineLevel="0" collapsed="false">
      <c r="A18" s="34" t="s">
        <v>258</v>
      </c>
      <c r="B18" s="36" t="s">
        <v>243</v>
      </c>
      <c r="C18" s="36" t="s">
        <v>241</v>
      </c>
      <c r="D18" s="35" t="s">
        <v>238</v>
      </c>
      <c r="E18" s="37" t="s">
        <v>249</v>
      </c>
      <c r="F18" s="36" t="s">
        <v>247</v>
      </c>
      <c r="G18" s="36" t="s">
        <v>245</v>
      </c>
      <c r="H18" s="36" t="s">
        <v>243</v>
      </c>
      <c r="I18" s="36" t="s">
        <v>241</v>
      </c>
      <c r="J18" s="37" t="s">
        <v>249</v>
      </c>
      <c r="K18" s="36" t="s">
        <v>247</v>
      </c>
      <c r="L18" s="36" t="s">
        <v>245</v>
      </c>
      <c r="M18" s="36" t="s">
        <v>243</v>
      </c>
      <c r="N18" s="36" t="s">
        <v>241</v>
      </c>
      <c r="O18" s="35" t="s">
        <v>238</v>
      </c>
      <c r="P18" s="34" t="s">
        <v>239</v>
      </c>
    </row>
    <row r="19" customFormat="false" ht="15" hidden="false" customHeight="false" outlineLevel="0" collapsed="false">
      <c r="A19" s="34" t="s">
        <v>259</v>
      </c>
      <c r="B19" s="36" t="s">
        <v>245</v>
      </c>
      <c r="C19" s="36" t="s">
        <v>243</v>
      </c>
      <c r="D19" s="36" t="s">
        <v>241</v>
      </c>
      <c r="E19" s="35" t="s">
        <v>238</v>
      </c>
      <c r="F19" s="37" t="s">
        <v>249</v>
      </c>
      <c r="G19" s="36" t="s">
        <v>247</v>
      </c>
      <c r="H19" s="36" t="s">
        <v>245</v>
      </c>
      <c r="I19" s="36" t="s">
        <v>243</v>
      </c>
      <c r="J19" s="35" t="s">
        <v>238</v>
      </c>
      <c r="K19" s="37" t="s">
        <v>249</v>
      </c>
      <c r="L19" s="36" t="s">
        <v>247</v>
      </c>
      <c r="M19" s="36" t="s">
        <v>245</v>
      </c>
      <c r="N19" s="36" t="s">
        <v>243</v>
      </c>
      <c r="O19" s="36" t="s">
        <v>241</v>
      </c>
      <c r="P19" s="35" t="s">
        <v>238</v>
      </c>
    </row>
    <row r="20" customFormat="false" ht="15" hidden="false" customHeight="false" outlineLevel="0" collapsed="false">
      <c r="A20" s="34" t="s">
        <v>260</v>
      </c>
      <c r="B20" s="36" t="s">
        <v>247</v>
      </c>
      <c r="C20" s="36" t="s">
        <v>245</v>
      </c>
      <c r="D20" s="36" t="s">
        <v>243</v>
      </c>
      <c r="E20" s="36" t="s">
        <v>241</v>
      </c>
      <c r="F20" s="35" t="s">
        <v>238</v>
      </c>
      <c r="G20" s="37" t="s">
        <v>249</v>
      </c>
      <c r="H20" s="36" t="s">
        <v>247</v>
      </c>
      <c r="I20" s="36" t="s">
        <v>245</v>
      </c>
      <c r="J20" s="36" t="s">
        <v>241</v>
      </c>
      <c r="K20" s="35" t="s">
        <v>238</v>
      </c>
      <c r="L20" s="37" t="s">
        <v>249</v>
      </c>
      <c r="M20" s="36" t="s">
        <v>247</v>
      </c>
      <c r="N20" s="36" t="s">
        <v>245</v>
      </c>
      <c r="O20" s="36" t="s">
        <v>243</v>
      </c>
      <c r="P20" s="36" t="s">
        <v>241</v>
      </c>
    </row>
    <row r="21" customFormat="false" ht="15" hidden="false" customHeight="false" outlineLevel="0" collapsed="false">
      <c r="A21" s="34" t="s">
        <v>261</v>
      </c>
      <c r="B21" s="37" t="s">
        <v>249</v>
      </c>
      <c r="C21" s="36" t="s">
        <v>247</v>
      </c>
      <c r="D21" s="36" t="s">
        <v>245</v>
      </c>
      <c r="E21" s="36" t="s">
        <v>243</v>
      </c>
      <c r="F21" s="36" t="s">
        <v>241</v>
      </c>
      <c r="G21" s="35" t="s">
        <v>238</v>
      </c>
      <c r="H21" s="37" t="s">
        <v>249</v>
      </c>
      <c r="I21" s="36" t="s">
        <v>247</v>
      </c>
      <c r="J21" s="36" t="s">
        <v>243</v>
      </c>
      <c r="K21" s="36" t="s">
        <v>241</v>
      </c>
      <c r="L21" s="35" t="s">
        <v>238</v>
      </c>
      <c r="M21" s="37" t="s">
        <v>249</v>
      </c>
      <c r="N21" s="36" t="s">
        <v>247</v>
      </c>
      <c r="O21" s="36" t="s">
        <v>245</v>
      </c>
      <c r="P21" s="36" t="s">
        <v>243</v>
      </c>
    </row>
    <row r="23" customFormat="false" ht="15" hidden="false" customHeight="false" outlineLevel="0" collapsed="false">
      <c r="A23" s="38" t="s">
        <v>262</v>
      </c>
      <c r="B23" s="39" t="s">
        <v>238</v>
      </c>
      <c r="D23" s="40" t="s">
        <v>263</v>
      </c>
      <c r="F23" s="41" t="s">
        <v>249</v>
      </c>
    </row>
    <row r="25" customFormat="false" ht="15" hidden="false" customHeight="false" outlineLevel="0" collapsed="false">
      <c r="A25" s="3" t="s">
        <v>264</v>
      </c>
      <c r="B25" s="29"/>
      <c r="C25" s="29"/>
      <c r="D25" s="29"/>
    </row>
    <row r="26" customFormat="false" ht="15" hidden="false" customHeight="false" outlineLevel="0" collapsed="false">
      <c r="A26" s="4" t="s">
        <v>265</v>
      </c>
      <c r="B26" s="42" t="s">
        <v>266</v>
      </c>
      <c r="C26" s="42"/>
      <c r="D26" s="42"/>
    </row>
    <row r="27" customFormat="false" ht="15" hidden="false" customHeight="false" outlineLevel="0" collapsed="false">
      <c r="A27" s="4" t="s">
        <v>267</v>
      </c>
      <c r="B27" s="42" t="s">
        <v>268</v>
      </c>
      <c r="C27" s="42"/>
      <c r="D27" s="42"/>
    </row>
    <row r="28" customFormat="false" ht="15" hidden="false" customHeight="false" outlineLevel="0" collapsed="false">
      <c r="A28" s="4" t="s">
        <v>269</v>
      </c>
      <c r="B28" s="42" t="s">
        <v>270</v>
      </c>
      <c r="C28" s="42"/>
      <c r="D28" s="42"/>
    </row>
    <row r="29" customFormat="false" ht="15" hidden="false" customHeight="false" outlineLevel="0" collapsed="false">
      <c r="A29" s="4" t="s">
        <v>271</v>
      </c>
      <c r="B29" s="42" t="s">
        <v>272</v>
      </c>
      <c r="C29" s="42"/>
      <c r="D29" s="42"/>
    </row>
    <row r="30" customFormat="false" ht="15" hidden="false" customHeight="false" outlineLevel="0" collapsed="false">
      <c r="A30" s="4" t="s">
        <v>273</v>
      </c>
      <c r="B30" s="42" t="s">
        <v>14</v>
      </c>
      <c r="C30" s="42"/>
      <c r="D30" s="42"/>
    </row>
    <row r="31" customFormat="false" ht="15" hidden="false" customHeight="false" outlineLevel="0" collapsed="false">
      <c r="A31" s="4" t="s">
        <v>274</v>
      </c>
      <c r="B31" s="42" t="s">
        <v>275</v>
      </c>
      <c r="C31" s="42"/>
      <c r="D31" s="42"/>
    </row>
    <row r="32" customFormat="false" ht="15" hidden="false" customHeight="false" outlineLevel="0" collapsed="false">
      <c r="A32" s="4" t="s">
        <v>276</v>
      </c>
      <c r="B32" s="42" t="s">
        <v>277</v>
      </c>
      <c r="C32" s="42"/>
      <c r="D32" s="42"/>
    </row>
    <row r="33" customFormat="false" ht="15" hidden="false" customHeight="false" outlineLevel="0" collapsed="false">
      <c r="A33" s="4" t="s">
        <v>278</v>
      </c>
      <c r="B33" s="42" t="s">
        <v>279</v>
      </c>
      <c r="C33" s="42"/>
      <c r="D33" s="42"/>
    </row>
    <row r="34" customFormat="false" ht="15" hidden="false" customHeight="false" outlineLevel="0" collapsed="false">
      <c r="A34" s="4" t="s">
        <v>280</v>
      </c>
      <c r="B34" s="42" t="s">
        <v>281</v>
      </c>
      <c r="C34" s="42"/>
      <c r="D34" s="42"/>
    </row>
    <row r="35" customFormat="false" ht="15" hidden="false" customHeight="false" outlineLevel="0" collapsed="false">
      <c r="A35" s="4" t="s">
        <v>282</v>
      </c>
      <c r="B35" s="42" t="s">
        <v>283</v>
      </c>
      <c r="C35" s="42"/>
      <c r="D35" s="42"/>
    </row>
    <row r="36" customFormat="false" ht="15" hidden="false" customHeight="false" outlineLevel="0" collapsed="false">
      <c r="A36" s="4" t="s">
        <v>284</v>
      </c>
      <c r="B36" s="42" t="s">
        <v>285</v>
      </c>
      <c r="C36" s="42"/>
      <c r="D36" s="42"/>
    </row>
    <row r="37" customFormat="false" ht="15" hidden="false" customHeight="false" outlineLevel="0" collapsed="false">
      <c r="A37" s="4" t="s">
        <v>286</v>
      </c>
      <c r="B37" s="42" t="s">
        <v>287</v>
      </c>
      <c r="C37" s="42"/>
      <c r="D37" s="42"/>
    </row>
    <row r="39" customFormat="false" ht="15" hidden="false" customHeight="false" outlineLevel="0" collapsed="false">
      <c r="A39" s="9" t="s">
        <v>288</v>
      </c>
      <c r="B39" s="10"/>
      <c r="C39" s="10"/>
      <c r="D39" s="10"/>
    </row>
    <row r="40" customFormat="false" ht="15" hidden="false" customHeight="false" outlineLevel="0" collapsed="false">
      <c r="A40" s="4" t="s">
        <v>289</v>
      </c>
      <c r="B40" s="42" t="s">
        <v>290</v>
      </c>
      <c r="C40" s="42"/>
      <c r="D40" s="42"/>
    </row>
    <row r="41" customFormat="false" ht="15" hidden="false" customHeight="false" outlineLevel="0" collapsed="false">
      <c r="A41" s="4" t="s">
        <v>291</v>
      </c>
      <c r="B41" s="42" t="s">
        <v>292</v>
      </c>
      <c r="C41" s="42"/>
      <c r="D41" s="42"/>
    </row>
    <row r="42" customFormat="false" ht="15" hidden="false" customHeight="false" outlineLevel="0" collapsed="false">
      <c r="A42" s="4" t="s">
        <v>293</v>
      </c>
      <c r="B42" s="42" t="s">
        <v>294</v>
      </c>
      <c r="C42" s="42"/>
      <c r="D42" s="42"/>
    </row>
    <row r="43" customFormat="false" ht="15" hidden="false" customHeight="false" outlineLevel="0" collapsed="false">
      <c r="A43" s="4" t="s">
        <v>295</v>
      </c>
      <c r="B43" s="42" t="s">
        <v>296</v>
      </c>
      <c r="C43" s="42"/>
      <c r="D43" s="42"/>
    </row>
    <row r="44" customFormat="false" ht="15" hidden="false" customHeight="false" outlineLevel="0" collapsed="false">
      <c r="A44" s="4" t="s">
        <v>297</v>
      </c>
      <c r="B44" s="42" t="s">
        <v>298</v>
      </c>
      <c r="C44" s="42"/>
      <c r="D44" s="42"/>
    </row>
    <row r="45" customFormat="false" ht="15" hidden="false" customHeight="false" outlineLevel="0" collapsed="false">
      <c r="A45" s="4" t="s">
        <v>299</v>
      </c>
      <c r="B45" s="42" t="s">
        <v>300</v>
      </c>
      <c r="C45" s="42"/>
      <c r="D45" s="42"/>
    </row>
    <row r="46" customFormat="false" ht="15" hidden="false" customHeight="false" outlineLevel="0" collapsed="false">
      <c r="A46" s="4" t="s">
        <v>301</v>
      </c>
      <c r="B46" s="42" t="s">
        <v>302</v>
      </c>
      <c r="C46" s="42"/>
      <c r="D46" s="42"/>
    </row>
    <row r="47" customFormat="false" ht="15" hidden="false" customHeight="false" outlineLevel="0" collapsed="false">
      <c r="A47" s="4" t="s">
        <v>303</v>
      </c>
      <c r="B47" s="42" t="s">
        <v>304</v>
      </c>
      <c r="C47" s="42"/>
      <c r="D47" s="42"/>
    </row>
    <row r="48" customFormat="false" ht="15" hidden="false" customHeight="false" outlineLevel="0" collapsed="false">
      <c r="A48" s="4" t="s">
        <v>305</v>
      </c>
      <c r="B48" s="42" t="s">
        <v>306</v>
      </c>
      <c r="C48" s="42"/>
      <c r="D48" s="42"/>
    </row>
    <row r="49" customFormat="false" ht="15" hidden="false" customHeight="false" outlineLevel="0" collapsed="false">
      <c r="A49" s="4" t="s">
        <v>307</v>
      </c>
      <c r="B49" s="42" t="s">
        <v>308</v>
      </c>
      <c r="C49" s="42"/>
      <c r="D49" s="42"/>
    </row>
    <row r="50" customFormat="false" ht="15" hidden="false" customHeight="false" outlineLevel="0" collapsed="false">
      <c r="A50" s="4" t="s">
        <v>309</v>
      </c>
      <c r="B50" s="42" t="s">
        <v>310</v>
      </c>
      <c r="C50" s="42"/>
      <c r="D50" s="42"/>
    </row>
    <row r="51" customFormat="false" ht="15" hidden="false" customHeight="false" outlineLevel="0" collapsed="false">
      <c r="A51" s="4" t="s">
        <v>311</v>
      </c>
      <c r="B51" s="42" t="s">
        <v>312</v>
      </c>
      <c r="C51" s="42"/>
      <c r="D51" s="42"/>
    </row>
  </sheetData>
  <mergeCells count="24"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2026-02-20T23:48:40Z</dcterms:created>
  <dc:creator>openpyxl</dc:creator>
  <dc:description/>
  <dc:language>en-US</dc:language>
  <cp:lastModifiedBy/>
  <dcterms:modified xsi:type="dcterms:W3CDTF">2026-02-20T23:48:40Z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